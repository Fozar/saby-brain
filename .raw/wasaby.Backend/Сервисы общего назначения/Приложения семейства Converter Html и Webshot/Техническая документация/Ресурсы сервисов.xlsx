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/>
  <mc:AlternateContent xmlns:mc="http://schemas.openxmlformats.org/markup-compatibility/2006">
    <mc:Choice Requires="x15">
      <x15ac:absPath xmlns:x15ac="http://schemas.microsoft.com/office/spreadsheetml/2010/11/ac" url="F:\Docs\"/>
    </mc:Choice>
  </mc:AlternateContent>
  <xr:revisionPtr revIDLastSave="0" documentId="11_3456DF1C4FEBDCD417A5374709D2DDD0C69B628D" xr6:coauthVersionLast="36" xr6:coauthVersionMax="36" xr10:uidLastSave="{00000000-0000-0000-0000-000000000000}"/>
  <bookViews>
    <workbookView xWindow="0" yWindow="0" windowWidth="38400" windowHeight="12315" firstSheet="2" xr2:uid="{00000000-000D-0000-FFFF-FFFF00000000}"/>
  </bookViews>
  <sheets>
    <sheet name="Лист1" sheetId="1" r:id="rId1"/>
    <sheet name="Лист2" sheetId="3" r:id="rId2"/>
    <sheet name="концепт" sheetId="2" r:id="rId3"/>
  </sheets>
  <calcPr calcId="17902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6" i="2" l="1"/>
  <c r="S6" i="2"/>
  <c r="T5" i="2"/>
  <c r="S5" i="2"/>
  <c r="T4" i="2"/>
  <c r="S4" i="2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7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7" i="3"/>
  <c r="J24" i="3"/>
  <c r="I24" i="3"/>
  <c r="J23" i="3"/>
  <c r="I23" i="3"/>
  <c r="J22" i="3"/>
  <c r="I22" i="3"/>
  <c r="J21" i="3"/>
  <c r="I21" i="3"/>
  <c r="J20" i="3"/>
  <c r="I20" i="3"/>
  <c r="J19" i="3"/>
  <c r="I19" i="3"/>
  <c r="J18" i="3"/>
  <c r="I18" i="3"/>
  <c r="J17" i="3"/>
  <c r="I17" i="3"/>
  <c r="J16" i="3"/>
  <c r="I16" i="3"/>
  <c r="J15" i="3"/>
  <c r="I15" i="3"/>
  <c r="J14" i="3"/>
  <c r="I14" i="3"/>
  <c r="J13" i="3"/>
  <c r="I13" i="3"/>
  <c r="J12" i="3"/>
  <c r="I12" i="3"/>
  <c r="J11" i="3"/>
  <c r="I11" i="3"/>
  <c r="J10" i="3"/>
  <c r="I10" i="3"/>
  <c r="J9" i="3"/>
  <c r="I9" i="3"/>
  <c r="J8" i="3"/>
  <c r="I8" i="3"/>
  <c r="J7" i="3"/>
  <c r="I7" i="3"/>
  <c r="T6" i="3"/>
  <c r="S6" i="3"/>
  <c r="J6" i="3"/>
  <c r="I6" i="3"/>
  <c r="T5" i="3"/>
  <c r="S5" i="3"/>
  <c r="J5" i="3"/>
  <c r="I5" i="3"/>
  <c r="T4" i="3"/>
  <c r="S4" i="3"/>
  <c r="J4" i="3"/>
  <c r="I4" i="3"/>
  <c r="T6" i="1"/>
  <c r="T5" i="1"/>
  <c r="T4" i="1"/>
  <c r="S4" i="1"/>
  <c r="S6" i="1"/>
  <c r="S5" i="1"/>
  <c r="T24" i="1"/>
  <c r="S24" i="1"/>
  <c r="J24" i="1"/>
  <c r="I24" i="1"/>
  <c r="T23" i="1"/>
  <c r="S23" i="1"/>
  <c r="J23" i="1"/>
  <c r="I23" i="1"/>
  <c r="T22" i="1"/>
  <c r="S22" i="1"/>
  <c r="J22" i="1"/>
  <c r="I22" i="1"/>
  <c r="T21" i="1"/>
  <c r="S21" i="1"/>
  <c r="J21" i="1"/>
  <c r="I21" i="1"/>
  <c r="T20" i="1"/>
  <c r="S20" i="1"/>
  <c r="J20" i="1"/>
  <c r="I20" i="1"/>
  <c r="T19" i="1"/>
  <c r="S19" i="1"/>
  <c r="J19" i="1"/>
  <c r="I19" i="1"/>
  <c r="T18" i="1"/>
  <c r="S18" i="1"/>
  <c r="J18" i="1"/>
  <c r="I18" i="1"/>
  <c r="T17" i="1"/>
  <c r="S17" i="1"/>
  <c r="J17" i="1"/>
  <c r="I17" i="1"/>
  <c r="T16" i="1"/>
  <c r="S16" i="1"/>
  <c r="J16" i="1"/>
  <c r="I16" i="1"/>
  <c r="T15" i="1"/>
  <c r="S15" i="1"/>
  <c r="J15" i="1"/>
  <c r="I15" i="1"/>
  <c r="T14" i="1"/>
  <c r="S14" i="1"/>
  <c r="J14" i="1"/>
  <c r="I14" i="1"/>
  <c r="T13" i="1"/>
  <c r="S13" i="1"/>
  <c r="J13" i="1"/>
  <c r="I13" i="1"/>
  <c r="T12" i="1"/>
  <c r="S12" i="1"/>
  <c r="J12" i="1"/>
  <c r="I12" i="1"/>
  <c r="T11" i="1"/>
  <c r="S11" i="1"/>
  <c r="J11" i="1"/>
  <c r="I11" i="1"/>
  <c r="T10" i="1"/>
  <c r="S10" i="1"/>
  <c r="J10" i="1"/>
  <c r="I10" i="1"/>
  <c r="T9" i="1"/>
  <c r="S9" i="1"/>
  <c r="J9" i="1"/>
  <c r="I9" i="1"/>
  <c r="T8" i="1"/>
  <c r="S8" i="1"/>
  <c r="J8" i="1"/>
  <c r="I8" i="1"/>
  <c r="T7" i="1"/>
  <c r="S7" i="1"/>
  <c r="J7" i="1"/>
  <c r="I7" i="1"/>
  <c r="J6" i="1"/>
  <c r="I6" i="1"/>
  <c r="J5" i="1"/>
  <c r="I5" i="1"/>
  <c r="J4" i="1"/>
  <c r="I4" i="1"/>
  <c r="T21" i="2"/>
  <c r="S21" i="2"/>
  <c r="J21" i="2"/>
  <c r="I21" i="2"/>
  <c r="T20" i="2"/>
  <c r="S20" i="2"/>
  <c r="J20" i="2"/>
  <c r="I20" i="2"/>
  <c r="T19" i="2"/>
  <c r="S19" i="2"/>
  <c r="J19" i="2"/>
  <c r="I19" i="2"/>
  <c r="T15" i="2"/>
  <c r="S15" i="2"/>
  <c r="J15" i="2"/>
  <c r="I15" i="2"/>
  <c r="T14" i="2"/>
  <c r="S14" i="2"/>
  <c r="J14" i="2"/>
  <c r="I14" i="2"/>
  <c r="T13" i="2"/>
  <c r="S13" i="2"/>
  <c r="J13" i="2"/>
  <c r="I13" i="2"/>
  <c r="T24" i="2"/>
  <c r="S24" i="2"/>
  <c r="J24" i="2"/>
  <c r="I24" i="2"/>
  <c r="T23" i="2"/>
  <c r="S23" i="2"/>
  <c r="J23" i="2"/>
  <c r="I23" i="2"/>
  <c r="T22" i="2"/>
  <c r="S22" i="2"/>
  <c r="J22" i="2"/>
  <c r="I22" i="2"/>
  <c r="T18" i="2"/>
  <c r="S18" i="2"/>
  <c r="J18" i="2"/>
  <c r="I18" i="2"/>
  <c r="T17" i="2"/>
  <c r="S17" i="2"/>
  <c r="J17" i="2"/>
  <c r="I17" i="2"/>
  <c r="T16" i="2"/>
  <c r="S16" i="2"/>
  <c r="J16" i="2"/>
  <c r="I16" i="2"/>
  <c r="T12" i="2"/>
  <c r="S12" i="2"/>
  <c r="J12" i="2"/>
  <c r="I12" i="2"/>
  <c r="T11" i="2"/>
  <c r="S11" i="2"/>
  <c r="J11" i="2"/>
  <c r="I11" i="2"/>
  <c r="T10" i="2"/>
  <c r="S10" i="2"/>
  <c r="J10" i="2"/>
  <c r="I10" i="2"/>
  <c r="T9" i="2"/>
  <c r="S9" i="2"/>
  <c r="J9" i="2"/>
  <c r="I9" i="2"/>
  <c r="T8" i="2"/>
  <c r="S8" i="2"/>
  <c r="J8" i="2"/>
  <c r="I8" i="2"/>
  <c r="T7" i="2"/>
  <c r="S7" i="2"/>
  <c r="J7" i="2"/>
  <c r="I7" i="2"/>
  <c r="J6" i="2"/>
  <c r="I6" i="2"/>
  <c r="J5" i="2"/>
  <c r="I5" i="2"/>
  <c r="J4" i="2"/>
  <c r="I4" i="2"/>
  <c r="T25" i="1"/>
  <c r="T27" i="1"/>
  <c r="S25" i="1"/>
  <c r="S27" i="1"/>
  <c r="T25" i="2"/>
  <c r="T27" i="2"/>
  <c r="S25" i="2"/>
  <c r="S27" i="2"/>
</calcChain>
</file>

<file path=xl/sharedStrings.xml><?xml version="1.0" encoding="utf-8"?>
<sst xmlns="http://schemas.openxmlformats.org/spreadsheetml/2006/main" count="165" uniqueCount="38">
  <si>
    <t>Сервис</t>
  </si>
  <si>
    <t>БЛ</t>
  </si>
  <si>
    <t>Потоков на 1 БЛ</t>
  </si>
  <si>
    <t>загрузка (rpMonth)</t>
  </si>
  <si>
    <t>Потоков на сервис</t>
  </si>
  <si>
    <t>ядра</t>
  </si>
  <si>
    <t>память</t>
  </si>
  <si>
    <t>среденне поребление</t>
  </si>
  <si>
    <t>приковое поребление</t>
  </si>
  <si>
    <t>ядра всего</t>
  </si>
  <si>
    <t>память всего</t>
  </si>
  <si>
    <t>количество сервисов</t>
  </si>
  <si>
    <t>служебных</t>
  </si>
  <si>
    <t>основных</t>
  </si>
  <si>
    <t>реквест</t>
  </si>
  <si>
    <t>лимит</t>
  </si>
  <si>
    <t>converter_html</t>
  </si>
  <si>
    <t>108м</t>
  </si>
  <si>
    <t>42м</t>
  </si>
  <si>
    <t>converter_big_html</t>
  </si>
  <si>
    <t>8м</t>
  </si>
  <si>
    <t>1,5к</t>
  </si>
  <si>
    <t>webshot</t>
  </si>
  <si>
    <t>1,5м</t>
  </si>
  <si>
    <t>3м</t>
  </si>
  <si>
    <t>С</t>
  </si>
  <si>
    <t>converter_html_c</t>
  </si>
  <si>
    <t>converter_big_html_c</t>
  </si>
  <si>
    <t>webshot_c</t>
  </si>
  <si>
    <t>converter_html_b</t>
  </si>
  <si>
    <t>converter_big_html_b</t>
  </si>
  <si>
    <t>webshot_b</t>
  </si>
  <si>
    <t>converter_html_public_c</t>
  </si>
  <si>
    <t>converter_big_html_public_c</t>
  </si>
  <si>
    <t>webshot_public_c</t>
  </si>
  <si>
    <t>converter_html_public_b</t>
  </si>
  <si>
    <t>converter_big_html_public_b</t>
  </si>
  <si>
    <t>webshot_public_b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</si>
</sst>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73">
    <xf numFmtId="0" fontId="0" fillId="0" borderId="0" xfId="0"/>
    <xf numFmtId="0" fontId="0" fillId="0" borderId="0" xfId="0" applyAlignment="1">
      <alignment vertical="center" wrapText="1"/>
    </xf>
    <xf numFmtId="0" fontId="0" fillId="0" borderId="3" xfId="0" applyBorder="1"/>
    <xf numFmtId="0" fontId="1" fillId="2" borderId="3" xfId="1" applyBorder="1"/>
    <xf numFmtId="0" fontId="1" fillId="2" borderId="0" xfId="1"/>
    <xf numFmtId="0" fontId="0" fillId="3" borderId="3" xfId="0" applyFill="1" applyBorder="1"/>
    <xf numFmtId="0" fontId="0" fillId="3" borderId="0" xfId="0" applyFill="1"/>
    <xf numFmtId="0" fontId="0" fillId="0" borderId="13" xfId="0" applyBorder="1"/>
    <xf numFmtId="0" fontId="0" fillId="0" borderId="14" xfId="0" applyBorder="1"/>
    <xf numFmtId="0" fontId="1" fillId="2" borderId="15" xfId="1" applyBorder="1"/>
    <xf numFmtId="0" fontId="0" fillId="0" borderId="12" xfId="0" applyBorder="1"/>
    <xf numFmtId="0" fontId="1" fillId="2" borderId="13" xfId="1" applyBorder="1"/>
    <xf numFmtId="0" fontId="0" fillId="3" borderId="18" xfId="0" applyFill="1" applyBorder="1"/>
    <xf numFmtId="0" fontId="0" fillId="0" borderId="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0" fillId="0" borderId="28" xfId="0" applyBorder="1" applyAlignment="1">
      <alignment horizontal="center" vertical="center"/>
    </xf>
    <xf numFmtId="0" fontId="0" fillId="0" borderId="33" xfId="0" applyBorder="1"/>
    <xf numFmtId="0" fontId="0" fillId="0" borderId="40" xfId="0" applyBorder="1"/>
    <xf numFmtId="0" fontId="0" fillId="7" borderId="20" xfId="0" applyFill="1" applyBorder="1"/>
    <xf numFmtId="0" fontId="0" fillId="7" borderId="22" xfId="0" applyFill="1" applyBorder="1"/>
    <xf numFmtId="0" fontId="0" fillId="5" borderId="25" xfId="0" applyFill="1" applyBorder="1"/>
    <xf numFmtId="0" fontId="0" fillId="5" borderId="27" xfId="0" applyFill="1" applyBorder="1"/>
    <xf numFmtId="0" fontId="0" fillId="8" borderId="37" xfId="0" applyFill="1" applyBorder="1"/>
    <xf numFmtId="0" fontId="0" fillId="8" borderId="53" xfId="0" applyFill="1" applyBorder="1"/>
    <xf numFmtId="0" fontId="0" fillId="8" borderId="52" xfId="0" applyFill="1" applyBorder="1"/>
    <xf numFmtId="0" fontId="0" fillId="3" borderId="1" xfId="0" applyFill="1" applyBorder="1"/>
    <xf numFmtId="0" fontId="0" fillId="3" borderId="26" xfId="0" applyFill="1" applyBorder="1"/>
    <xf numFmtId="0" fontId="0" fillId="6" borderId="9" xfId="0" applyFill="1" applyBorder="1" applyAlignment="1">
      <alignment vertical="center" wrapText="1"/>
    </xf>
    <xf numFmtId="0" fontId="0" fillId="6" borderId="10" xfId="0" applyFill="1" applyBorder="1"/>
    <xf numFmtId="0" fontId="0" fillId="6" borderId="11" xfId="0" applyFill="1" applyBorder="1"/>
    <xf numFmtId="0" fontId="0" fillId="6" borderId="20" xfId="0" applyFill="1" applyBorder="1"/>
    <xf numFmtId="0" fontId="0" fillId="6" borderId="21" xfId="0" applyFill="1" applyBorder="1"/>
    <xf numFmtId="0" fontId="0" fillId="6" borderId="30" xfId="0" applyFill="1" applyBorder="1"/>
    <xf numFmtId="0" fontId="0" fillId="6" borderId="22" xfId="0" applyFill="1" applyBorder="1"/>
    <xf numFmtId="0" fontId="0" fillId="6" borderId="35" xfId="0" applyFill="1" applyBorder="1"/>
    <xf numFmtId="0" fontId="0" fillId="6" borderId="12" xfId="0" applyFill="1" applyBorder="1" applyAlignment="1">
      <alignment vertical="center" wrapText="1"/>
    </xf>
    <xf numFmtId="0" fontId="0" fillId="6" borderId="0" xfId="0" applyFill="1"/>
    <xf numFmtId="0" fontId="0" fillId="6" borderId="13" xfId="0" applyFill="1" applyBorder="1"/>
    <xf numFmtId="0" fontId="0" fillId="6" borderId="17" xfId="0" applyFill="1" applyBorder="1" applyAlignment="1">
      <alignment vertical="center" wrapText="1"/>
    </xf>
    <xf numFmtId="0" fontId="0" fillId="6" borderId="18" xfId="0" applyFill="1" applyBorder="1"/>
    <xf numFmtId="0" fontId="0" fillId="6" borderId="19" xfId="0" applyFill="1" applyBorder="1"/>
    <xf numFmtId="0" fontId="0" fillId="6" borderId="25" xfId="0" applyFill="1" applyBorder="1"/>
    <xf numFmtId="0" fontId="0" fillId="6" borderId="26" xfId="0" applyFill="1" applyBorder="1"/>
    <xf numFmtId="0" fontId="0" fillId="6" borderId="29" xfId="0" applyFill="1" applyBorder="1"/>
    <xf numFmtId="0" fontId="0" fillId="6" borderId="27" xfId="0" applyFill="1" applyBorder="1"/>
    <xf numFmtId="0" fontId="0" fillId="6" borderId="34" xfId="0" applyFill="1" applyBorder="1"/>
    <xf numFmtId="0" fontId="0" fillId="9" borderId="9" xfId="0" applyFill="1" applyBorder="1" applyAlignment="1">
      <alignment vertical="center" wrapText="1"/>
    </xf>
    <xf numFmtId="0" fontId="0" fillId="9" borderId="10" xfId="0" applyFill="1" applyBorder="1"/>
    <xf numFmtId="0" fontId="0" fillId="9" borderId="11" xfId="0" applyFill="1" applyBorder="1"/>
    <xf numFmtId="0" fontId="0" fillId="9" borderId="20" xfId="0" applyFill="1" applyBorder="1"/>
    <xf numFmtId="0" fontId="0" fillId="9" borderId="21" xfId="0" applyFill="1" applyBorder="1"/>
    <xf numFmtId="0" fontId="0" fillId="9" borderId="30" xfId="0" applyFill="1" applyBorder="1"/>
    <xf numFmtId="0" fontId="0" fillId="9" borderId="22" xfId="0" applyFill="1" applyBorder="1"/>
    <xf numFmtId="0" fontId="0" fillId="9" borderId="35" xfId="0" applyFill="1" applyBorder="1"/>
    <xf numFmtId="0" fontId="0" fillId="9" borderId="12" xfId="0" applyFill="1" applyBorder="1" applyAlignment="1">
      <alignment vertical="center" wrapText="1"/>
    </xf>
    <xf numFmtId="0" fontId="0" fillId="9" borderId="0" xfId="0" applyFill="1"/>
    <xf numFmtId="0" fontId="0" fillId="9" borderId="13" xfId="0" applyFill="1" applyBorder="1"/>
    <xf numFmtId="0" fontId="0" fillId="9" borderId="23" xfId="0" applyFill="1" applyBorder="1"/>
    <xf numFmtId="0" fontId="0" fillId="9" borderId="1" xfId="0" applyFill="1" applyBorder="1"/>
    <xf numFmtId="0" fontId="0" fillId="9" borderId="28" xfId="0" applyFill="1" applyBorder="1"/>
    <xf numFmtId="0" fontId="0" fillId="9" borderId="24" xfId="0" applyFill="1" applyBorder="1"/>
    <xf numFmtId="0" fontId="0" fillId="9" borderId="33" xfId="0" applyFill="1" applyBorder="1"/>
    <xf numFmtId="0" fontId="0" fillId="9" borderId="17" xfId="0" applyFill="1" applyBorder="1" applyAlignment="1">
      <alignment vertical="center" wrapText="1"/>
    </xf>
    <xf numFmtId="0" fontId="0" fillId="9" borderId="18" xfId="0" applyFill="1" applyBorder="1"/>
    <xf numFmtId="0" fontId="0" fillId="9" borderId="19" xfId="0" applyFill="1" applyBorder="1"/>
    <xf numFmtId="0" fontId="0" fillId="9" borderId="25" xfId="0" applyFill="1" applyBorder="1"/>
    <xf numFmtId="0" fontId="0" fillId="9" borderId="26" xfId="0" applyFill="1" applyBorder="1"/>
    <xf numFmtId="0" fontId="0" fillId="9" borderId="29" xfId="0" applyFill="1" applyBorder="1"/>
    <xf numFmtId="0" fontId="0" fillId="9" borderId="27" xfId="0" applyFill="1" applyBorder="1"/>
    <xf numFmtId="0" fontId="0" fillId="9" borderId="34" xfId="0" applyFill="1" applyBorder="1"/>
    <xf numFmtId="0" fontId="0" fillId="9" borderId="32" xfId="0" applyFill="1" applyBorder="1"/>
    <xf numFmtId="0" fontId="0" fillId="9" borderId="31" xfId="0" applyFill="1" applyBorder="1"/>
    <xf numFmtId="0" fontId="0" fillId="9" borderId="54" xfId="0" applyFill="1" applyBorder="1"/>
    <xf numFmtId="0" fontId="0" fillId="4" borderId="11" xfId="0" applyFill="1" applyBorder="1"/>
    <xf numFmtId="0" fontId="0" fillId="6" borderId="44" xfId="0" applyFill="1" applyBorder="1"/>
    <xf numFmtId="0" fontId="0" fillId="6" borderId="45" xfId="0" applyFill="1" applyBorder="1"/>
    <xf numFmtId="0" fontId="0" fillId="6" borderId="7" xfId="0" applyFill="1" applyBorder="1"/>
    <xf numFmtId="0" fontId="0" fillId="6" borderId="46" xfId="0" applyFill="1" applyBorder="1"/>
    <xf numFmtId="0" fontId="0" fillId="6" borderId="47" xfId="0" applyFill="1" applyBorder="1"/>
    <xf numFmtId="0" fontId="0" fillId="8" borderId="8" xfId="0" applyFill="1" applyBorder="1" applyAlignment="1">
      <alignment horizontal="center" vertical="center"/>
    </xf>
    <xf numFmtId="0" fontId="0" fillId="8" borderId="48" xfId="0" applyFill="1" applyBorder="1" applyAlignment="1">
      <alignment vertical="center" wrapText="1"/>
    </xf>
    <xf numFmtId="0" fontId="0" fillId="8" borderId="49" xfId="0" applyFill="1" applyBorder="1"/>
    <xf numFmtId="0" fontId="0" fillId="8" borderId="50" xfId="0" applyFill="1" applyBorder="1"/>
    <xf numFmtId="0" fontId="0" fillId="8" borderId="51" xfId="0" applyFill="1" applyBorder="1"/>
    <xf numFmtId="0" fontId="0" fillId="8" borderId="8" xfId="0" applyFill="1" applyBorder="1"/>
    <xf numFmtId="0" fontId="0" fillId="3" borderId="14" xfId="0" applyFill="1" applyBorder="1" applyAlignment="1">
      <alignment vertical="center" wrapText="1"/>
    </xf>
    <xf numFmtId="0" fontId="0" fillId="3" borderId="15" xfId="0" applyFill="1" applyBorder="1"/>
    <xf numFmtId="0" fontId="0" fillId="3" borderId="23" xfId="0" applyFill="1" applyBorder="1"/>
    <xf numFmtId="0" fontId="0" fillId="3" borderId="28" xfId="0" applyFill="1" applyBorder="1"/>
    <xf numFmtId="0" fontId="0" fillId="3" borderId="24" xfId="0" applyFill="1" applyBorder="1"/>
    <xf numFmtId="0" fontId="0" fillId="3" borderId="33" xfId="0" applyFill="1" applyBorder="1"/>
    <xf numFmtId="0" fontId="0" fillId="3" borderId="12" xfId="0" applyFill="1" applyBorder="1" applyAlignment="1">
      <alignment vertical="center" wrapText="1"/>
    </xf>
    <xf numFmtId="0" fontId="0" fillId="3" borderId="13" xfId="0" applyFill="1" applyBorder="1"/>
    <xf numFmtId="0" fontId="0" fillId="3" borderId="39" xfId="0" applyFill="1" applyBorder="1"/>
    <xf numFmtId="0" fontId="0" fillId="3" borderId="42" xfId="0" applyFill="1" applyBorder="1"/>
    <xf numFmtId="0" fontId="0" fillId="3" borderId="2" xfId="0" applyFill="1" applyBorder="1"/>
    <xf numFmtId="0" fontId="0" fillId="3" borderId="43" xfId="0" applyFill="1" applyBorder="1"/>
    <xf numFmtId="0" fontId="0" fillId="3" borderId="40" xfId="0" applyFill="1" applyBorder="1"/>
    <xf numFmtId="0" fontId="0" fillId="3" borderId="44" xfId="0" applyFill="1" applyBorder="1"/>
    <xf numFmtId="0" fontId="0" fillId="3" borderId="45" xfId="0" applyFill="1" applyBorder="1"/>
    <xf numFmtId="0" fontId="0" fillId="3" borderId="7" xfId="0" applyFill="1" applyBorder="1"/>
    <xf numFmtId="0" fontId="0" fillId="3" borderId="46" xfId="0" applyFill="1" applyBorder="1"/>
    <xf numFmtId="0" fontId="0" fillId="3" borderId="47" xfId="0" applyFill="1" applyBorder="1"/>
    <xf numFmtId="0" fontId="0" fillId="3" borderId="17" xfId="0" applyFill="1" applyBorder="1" applyAlignment="1">
      <alignment vertical="center" wrapText="1"/>
    </xf>
    <xf numFmtId="0" fontId="0" fillId="3" borderId="19" xfId="0" applyFill="1" applyBorder="1"/>
    <xf numFmtId="0" fontId="0" fillId="3" borderId="25" xfId="0" applyFill="1" applyBorder="1"/>
    <xf numFmtId="0" fontId="0" fillId="3" borderId="29" xfId="0" applyFill="1" applyBorder="1"/>
    <xf numFmtId="0" fontId="0" fillId="3" borderId="27" xfId="0" applyFill="1" applyBorder="1"/>
    <xf numFmtId="0" fontId="0" fillId="3" borderId="34" xfId="0" applyFill="1" applyBorder="1"/>
    <xf numFmtId="0" fontId="0" fillId="9" borderId="55" xfId="0" applyFill="1" applyBorder="1"/>
    <xf numFmtId="0" fontId="0" fillId="9" borderId="56" xfId="0" applyFill="1" applyBorder="1"/>
    <xf numFmtId="0" fontId="0" fillId="9" borderId="57" xfId="0" applyFill="1" applyBorder="1"/>
    <xf numFmtId="0" fontId="0" fillId="6" borderId="55" xfId="0" applyFill="1" applyBorder="1"/>
    <xf numFmtId="0" fontId="0" fillId="6" borderId="57" xfId="0" applyFill="1" applyBorder="1"/>
    <xf numFmtId="0" fontId="0" fillId="3" borderId="56" xfId="0" applyFill="1" applyBorder="1"/>
    <xf numFmtId="0" fontId="0" fillId="6" borderId="16" xfId="0" applyFill="1" applyBorder="1"/>
    <xf numFmtId="0" fontId="0" fillId="3" borderId="16" xfId="0" applyFill="1" applyBorder="1"/>
    <xf numFmtId="0" fontId="0" fillId="3" borderId="57" xfId="0" applyFill="1" applyBorder="1"/>
    <xf numFmtId="0" fontId="0" fillId="3" borderId="9" xfId="0" applyFill="1" applyBorder="1"/>
    <xf numFmtId="0" fontId="0" fillId="3" borderId="14" xfId="0" applyFill="1" applyBorder="1"/>
    <xf numFmtId="0" fontId="0" fillId="4" borderId="15" xfId="0" applyFill="1" applyBorder="1"/>
    <xf numFmtId="0" fontId="0" fillId="3" borderId="12" xfId="0" applyFill="1" applyBorder="1"/>
    <xf numFmtId="0" fontId="0" fillId="4" borderId="13" xfId="0" applyFill="1" applyBorder="1"/>
    <xf numFmtId="0" fontId="0" fillId="9" borderId="9" xfId="0" applyFill="1" applyBorder="1"/>
    <xf numFmtId="0" fontId="0" fillId="9" borderId="12" xfId="0" applyFill="1" applyBorder="1"/>
    <xf numFmtId="0" fontId="0" fillId="9" borderId="17" xfId="0" applyFill="1" applyBorder="1"/>
    <xf numFmtId="0" fontId="0" fillId="6" borderId="9" xfId="0" applyFill="1" applyBorder="1"/>
    <xf numFmtId="0" fontId="0" fillId="6" borderId="17" xfId="0" applyFill="1" applyBorder="1"/>
    <xf numFmtId="0" fontId="0" fillId="8" borderId="48" xfId="0" applyFill="1" applyBorder="1"/>
    <xf numFmtId="0" fontId="0" fillId="6" borderId="12" xfId="0" applyFill="1" applyBorder="1"/>
    <xf numFmtId="0" fontId="0" fillId="3" borderId="17" xfId="0" applyFill="1" applyBorder="1"/>
    <xf numFmtId="0" fontId="0" fillId="10" borderId="18" xfId="0" applyFill="1" applyBorder="1"/>
    <xf numFmtId="0" fontId="0" fillId="10" borderId="0" xfId="0" applyFill="1"/>
    <xf numFmtId="0" fontId="0" fillId="10" borderId="50" xfId="0" applyFill="1" applyBorder="1"/>
    <xf numFmtId="0" fontId="0" fillId="0" borderId="35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9" borderId="41" xfId="0" applyFill="1" applyBorder="1" applyAlignment="1">
      <alignment horizontal="center" vertical="center"/>
    </xf>
    <xf numFmtId="0" fontId="0" fillId="9" borderId="36" xfId="0" applyFill="1" applyBorder="1" applyAlignment="1">
      <alignment horizontal="center" vertical="center"/>
    </xf>
    <xf numFmtId="0" fontId="0" fillId="9" borderId="38" xfId="0" applyFill="1" applyBorder="1" applyAlignment="1">
      <alignment horizontal="center" vertical="center"/>
    </xf>
    <xf numFmtId="0" fontId="0" fillId="6" borderId="41" xfId="0" applyFill="1" applyBorder="1" applyAlignment="1">
      <alignment horizontal="center" vertical="center"/>
    </xf>
    <xf numFmtId="0" fontId="0" fillId="6" borderId="38" xfId="0" applyFill="1" applyBorder="1" applyAlignment="1">
      <alignment horizontal="center" vertical="center"/>
    </xf>
    <xf numFmtId="0" fontId="0" fillId="3" borderId="41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0" fillId="9" borderId="17" xfId="0" applyFill="1" applyBorder="1" applyAlignment="1">
      <alignment horizontal="center" vertical="center"/>
    </xf>
  </cellXfs>
  <cellStyles count="2">
    <cellStyle name="Обычный" xfId="0" builtinId="0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27"/>
  <sheetViews>
    <sheetView tabSelected="1" workbookViewId="0" xr3:uid="{AEA406A1-0E4B-5B11-9CD5-51D6E497D94C}">
      <selection activeCell="A26" sqref="A26"/>
    </sheetView>
  </sheetViews>
  <sheetFormatPr defaultRowHeight="15"/>
  <cols>
    <col min="1" max="1" width="6.140625" customWidth="1"/>
    <col min="3" max="3" width="29" bestFit="1" customWidth="1"/>
    <col min="5" max="5" width="11.28515625" bestFit="1" customWidth="1"/>
    <col min="6" max="6" width="9.85546875" bestFit="1" customWidth="1"/>
    <col min="7" max="7" width="11.28515625" bestFit="1" customWidth="1"/>
    <col min="8" max="8" width="9.85546875" bestFit="1" customWidth="1"/>
    <col min="9" max="9" width="11.28515625" bestFit="1" customWidth="1"/>
    <col min="10" max="10" width="9.85546875" bestFit="1" customWidth="1"/>
    <col min="15" max="15" width="14.28515625" customWidth="1"/>
    <col min="16" max="16" width="10.5703125" customWidth="1"/>
    <col min="17" max="17" width="15.140625" customWidth="1"/>
    <col min="18" max="18" width="10.42578125" customWidth="1"/>
    <col min="19" max="19" width="10.5703125" bestFit="1" customWidth="1"/>
    <col min="20" max="20" width="12.7109375" bestFit="1" customWidth="1"/>
    <col min="21" max="21" width="20.42578125" bestFit="1" customWidth="1"/>
  </cols>
  <sheetData>
    <row r="1" spans="2:21" ht="15.75" thickBot="1"/>
    <row r="2" spans="2:21" ht="15.75" thickBot="1">
      <c r="C2" s="139" t="s">
        <v>0</v>
      </c>
      <c r="D2" s="141" t="s">
        <v>1</v>
      </c>
      <c r="E2" s="141" t="s">
        <v>2</v>
      </c>
      <c r="F2" s="141"/>
      <c r="G2" s="141" t="s">
        <v>3</v>
      </c>
      <c r="H2" s="141"/>
      <c r="I2" s="143" t="s">
        <v>4</v>
      </c>
      <c r="J2" s="144"/>
      <c r="K2" s="145" t="s">
        <v>5</v>
      </c>
      <c r="L2" s="146"/>
      <c r="M2" s="147" t="s">
        <v>6</v>
      </c>
      <c r="N2" s="148"/>
      <c r="O2" s="149" t="s">
        <v>7</v>
      </c>
      <c r="P2" s="150"/>
      <c r="Q2" s="149" t="s">
        <v>8</v>
      </c>
      <c r="R2" s="148"/>
      <c r="S2" s="145" t="s">
        <v>9</v>
      </c>
      <c r="T2" s="152" t="s">
        <v>10</v>
      </c>
      <c r="U2" s="137" t="s">
        <v>11</v>
      </c>
    </row>
    <row r="3" spans="2:21">
      <c r="C3" s="140"/>
      <c r="D3" s="142"/>
      <c r="E3" s="121" t="s">
        <v>12</v>
      </c>
      <c r="F3" s="76" t="s">
        <v>13</v>
      </c>
      <c r="G3" t="s">
        <v>12</v>
      </c>
      <c r="H3" t="s">
        <v>13</v>
      </c>
      <c r="I3" t="s">
        <v>12</v>
      </c>
      <c r="J3" s="7" t="s">
        <v>13</v>
      </c>
      <c r="K3" s="14" t="s">
        <v>14</v>
      </c>
      <c r="L3" s="13" t="s">
        <v>15</v>
      </c>
      <c r="M3" s="13" t="s">
        <v>14</v>
      </c>
      <c r="N3" s="18" t="s">
        <v>15</v>
      </c>
      <c r="O3" s="14" t="s">
        <v>5</v>
      </c>
      <c r="P3" s="15" t="s">
        <v>6</v>
      </c>
      <c r="Q3" s="14" t="s">
        <v>5</v>
      </c>
      <c r="R3" s="18" t="s">
        <v>6</v>
      </c>
      <c r="S3" s="151"/>
      <c r="T3" s="153"/>
      <c r="U3" s="138"/>
    </row>
    <row r="4" spans="2:21">
      <c r="C4" s="8" t="s">
        <v>16</v>
      </c>
      <c r="D4" s="2">
        <v>13</v>
      </c>
      <c r="E4" s="122">
        <v>8</v>
      </c>
      <c r="F4" s="123">
        <v>8</v>
      </c>
      <c r="G4" s="2" t="s">
        <v>17</v>
      </c>
      <c r="H4" s="2" t="s">
        <v>18</v>
      </c>
      <c r="I4" s="3">
        <f>$D4*E4</f>
        <v>104</v>
      </c>
      <c r="J4" s="9">
        <f>$D4*F4</f>
        <v>104</v>
      </c>
      <c r="K4" s="156">
        <v>8</v>
      </c>
      <c r="L4" s="157"/>
      <c r="M4" s="158">
        <v>18</v>
      </c>
      <c r="N4" s="159"/>
      <c r="O4" s="10">
        <v>3</v>
      </c>
      <c r="P4" s="7">
        <v>6.5</v>
      </c>
      <c r="Q4" s="10">
        <v>10</v>
      </c>
      <c r="R4">
        <v>12</v>
      </c>
      <c r="S4" s="16">
        <f>D4*K4</f>
        <v>104</v>
      </c>
      <c r="T4" s="17">
        <f>M4*D4</f>
        <v>234</v>
      </c>
      <c r="U4" s="19">
        <v>1</v>
      </c>
    </row>
    <row r="5" spans="2:21">
      <c r="C5" s="10" t="s">
        <v>19</v>
      </c>
      <c r="D5">
        <v>4</v>
      </c>
      <c r="E5" s="124">
        <v>5</v>
      </c>
      <c r="F5" s="125">
        <v>3</v>
      </c>
      <c r="G5" t="s">
        <v>20</v>
      </c>
      <c r="H5" t="s">
        <v>21</v>
      </c>
      <c r="I5" s="4">
        <f t="shared" ref="I5:J24" si="0">$D5*E5</f>
        <v>20</v>
      </c>
      <c r="J5" s="11">
        <f t="shared" si="0"/>
        <v>12</v>
      </c>
      <c r="K5" s="160">
        <v>8</v>
      </c>
      <c r="L5" s="161"/>
      <c r="M5" s="162">
        <v>32</v>
      </c>
      <c r="N5" s="163"/>
      <c r="O5" s="10">
        <v>4</v>
      </c>
      <c r="P5" s="7">
        <v>18</v>
      </c>
      <c r="Q5" s="10">
        <v>6.5</v>
      </c>
      <c r="R5">
        <v>19</v>
      </c>
      <c r="S5" s="16">
        <f>D5*K5</f>
        <v>32</v>
      </c>
      <c r="T5" s="17">
        <f>M5*D5</f>
        <v>128</v>
      </c>
      <c r="U5" s="19">
        <v>1</v>
      </c>
    </row>
    <row r="6" spans="2:21">
      <c r="C6" s="10" t="s">
        <v>22</v>
      </c>
      <c r="D6">
        <v>5</v>
      </c>
      <c r="E6" s="124">
        <v>8</v>
      </c>
      <c r="F6" s="125">
        <v>8</v>
      </c>
      <c r="G6" t="s">
        <v>23</v>
      </c>
      <c r="H6" t="s">
        <v>24</v>
      </c>
      <c r="I6" s="4">
        <f t="shared" si="0"/>
        <v>40</v>
      </c>
      <c r="J6" s="11">
        <f t="shared" si="0"/>
        <v>40</v>
      </c>
      <c r="K6" s="160">
        <v>8</v>
      </c>
      <c r="L6" s="161"/>
      <c r="M6" s="162">
        <v>16</v>
      </c>
      <c r="N6" s="163"/>
      <c r="O6" s="10">
        <v>4</v>
      </c>
      <c r="P6" s="7">
        <v>7</v>
      </c>
      <c r="Q6" s="10">
        <v>25</v>
      </c>
      <c r="R6">
        <v>13</v>
      </c>
      <c r="S6" s="16">
        <f>D6*K6</f>
        <v>40</v>
      </c>
      <c r="T6" s="17">
        <f>M6*D6</f>
        <v>80</v>
      </c>
      <c r="U6" s="20">
        <v>1</v>
      </c>
    </row>
    <row r="7" spans="2:21">
      <c r="B7" s="164" t="s">
        <v>25</v>
      </c>
      <c r="C7" s="49" t="s">
        <v>26</v>
      </c>
      <c r="D7" s="50">
        <v>2</v>
      </c>
      <c r="E7" s="126">
        <v>2</v>
      </c>
      <c r="F7" s="51">
        <v>1</v>
      </c>
      <c r="G7" s="50"/>
      <c r="H7" s="50"/>
      <c r="I7" s="50">
        <f t="shared" si="0"/>
        <v>4</v>
      </c>
      <c r="J7" s="51">
        <f t="shared" si="0"/>
        <v>2</v>
      </c>
      <c r="K7" s="52">
        <v>1</v>
      </c>
      <c r="L7" s="53">
        <v>4</v>
      </c>
      <c r="M7" s="53">
        <v>10</v>
      </c>
      <c r="N7" s="54">
        <v>16</v>
      </c>
      <c r="O7" s="52"/>
      <c r="P7" s="55"/>
      <c r="Q7" s="52"/>
      <c r="R7" s="55"/>
      <c r="S7" s="56">
        <f>L7*$D7*$U7</f>
        <v>8</v>
      </c>
      <c r="T7" s="56">
        <f>N7*$D7*$U7</f>
        <v>32</v>
      </c>
      <c r="U7" s="112">
        <v>1</v>
      </c>
    </row>
    <row r="8" spans="2:21">
      <c r="B8" s="165"/>
      <c r="C8" s="57" t="s">
        <v>27</v>
      </c>
      <c r="D8" s="58">
        <v>2</v>
      </c>
      <c r="E8" s="127">
        <v>2</v>
      </c>
      <c r="F8" s="59">
        <v>1</v>
      </c>
      <c r="G8" s="58"/>
      <c r="H8" s="58"/>
      <c r="I8" s="58">
        <f t="shared" si="0"/>
        <v>4</v>
      </c>
      <c r="J8" s="59">
        <f t="shared" si="0"/>
        <v>2</v>
      </c>
      <c r="K8" s="60">
        <v>1</v>
      </c>
      <c r="L8" s="61">
        <v>4</v>
      </c>
      <c r="M8" s="61">
        <v>10</v>
      </c>
      <c r="N8" s="62">
        <v>16</v>
      </c>
      <c r="O8" s="60"/>
      <c r="P8" s="63"/>
      <c r="Q8" s="60"/>
      <c r="R8" s="63"/>
      <c r="S8" s="64">
        <f t="shared" ref="S8:S15" si="1">L8*$D8*$U8</f>
        <v>8</v>
      </c>
      <c r="T8" s="64">
        <f t="shared" ref="T8:T15" si="2">N8*$D8*$U8</f>
        <v>32</v>
      </c>
      <c r="U8" s="113">
        <v>1</v>
      </c>
    </row>
    <row r="9" spans="2:21" ht="15.75" thickBot="1">
      <c r="B9" s="166"/>
      <c r="C9" s="65" t="s">
        <v>28</v>
      </c>
      <c r="D9" s="66">
        <v>2</v>
      </c>
      <c r="E9" s="128">
        <v>1</v>
      </c>
      <c r="F9" s="67">
        <v>1</v>
      </c>
      <c r="G9" s="66"/>
      <c r="H9" s="66"/>
      <c r="I9" s="66">
        <f t="shared" si="0"/>
        <v>2</v>
      </c>
      <c r="J9" s="67">
        <f t="shared" si="0"/>
        <v>2</v>
      </c>
      <c r="K9" s="68">
        <v>1</v>
      </c>
      <c r="L9" s="69">
        <v>4</v>
      </c>
      <c r="M9" s="69">
        <v>10</v>
      </c>
      <c r="N9" s="70">
        <v>16</v>
      </c>
      <c r="O9" s="68"/>
      <c r="P9" s="71"/>
      <c r="Q9" s="68"/>
      <c r="R9" s="71"/>
      <c r="S9" s="72">
        <f t="shared" si="1"/>
        <v>8</v>
      </c>
      <c r="T9" s="72">
        <f t="shared" si="2"/>
        <v>32</v>
      </c>
      <c r="U9" s="114">
        <v>1</v>
      </c>
    </row>
    <row r="10" spans="2:21" ht="15.75" thickBot="1">
      <c r="B10" s="167">
        <v>76</v>
      </c>
      <c r="C10" s="30" t="s">
        <v>29</v>
      </c>
      <c r="D10" s="31">
        <v>19</v>
      </c>
      <c r="E10" s="129">
        <v>5</v>
      </c>
      <c r="F10" s="32">
        <v>3</v>
      </c>
      <c r="G10" s="31"/>
      <c r="H10" s="31"/>
      <c r="I10" s="31">
        <f t="shared" si="0"/>
        <v>95</v>
      </c>
      <c r="J10" s="32">
        <f t="shared" si="0"/>
        <v>57</v>
      </c>
      <c r="K10" s="33">
        <v>4</v>
      </c>
      <c r="L10" s="34">
        <v>12</v>
      </c>
      <c r="M10" s="34">
        <v>26</v>
      </c>
      <c r="N10" s="35">
        <v>32</v>
      </c>
      <c r="O10" s="33"/>
      <c r="P10" s="36"/>
      <c r="Q10" s="33"/>
      <c r="R10" s="36"/>
      <c r="S10" s="37">
        <f t="shared" si="1"/>
        <v>228</v>
      </c>
      <c r="T10" s="37">
        <f t="shared" si="2"/>
        <v>608</v>
      </c>
      <c r="U10" s="115">
        <v>1</v>
      </c>
    </row>
    <row r="11" spans="2:21" ht="15.75" thickBot="1">
      <c r="B11" s="168"/>
      <c r="C11" s="41" t="s">
        <v>30</v>
      </c>
      <c r="D11" s="42">
        <v>6</v>
      </c>
      <c r="E11" s="130">
        <v>3</v>
      </c>
      <c r="F11" s="43">
        <v>1</v>
      </c>
      <c r="G11" s="42"/>
      <c r="H11" s="42"/>
      <c r="I11" s="42">
        <f t="shared" si="0"/>
        <v>18</v>
      </c>
      <c r="J11" s="43">
        <f t="shared" si="0"/>
        <v>6</v>
      </c>
      <c r="K11" s="44">
        <v>4</v>
      </c>
      <c r="L11" s="45">
        <v>12</v>
      </c>
      <c r="M11" s="34">
        <v>26</v>
      </c>
      <c r="N11" s="35">
        <v>32</v>
      </c>
      <c r="O11" s="44"/>
      <c r="P11" s="47"/>
      <c r="Q11" s="44"/>
      <c r="R11" s="47"/>
      <c r="S11" s="48">
        <f t="shared" si="1"/>
        <v>72</v>
      </c>
      <c r="T11" s="48">
        <f t="shared" si="2"/>
        <v>192</v>
      </c>
      <c r="U11" s="116">
        <v>1</v>
      </c>
    </row>
    <row r="12" spans="2:21" ht="15.75" thickBot="1">
      <c r="B12" s="82">
        <v>107</v>
      </c>
      <c r="C12" s="83" t="s">
        <v>31</v>
      </c>
      <c r="D12" s="84">
        <v>10</v>
      </c>
      <c r="E12" s="131">
        <v>4</v>
      </c>
      <c r="F12" s="85">
        <v>4</v>
      </c>
      <c r="G12" s="84"/>
      <c r="H12" s="84"/>
      <c r="I12" s="84">
        <f t="shared" si="0"/>
        <v>40</v>
      </c>
      <c r="J12" s="85">
        <f t="shared" si="0"/>
        <v>40</v>
      </c>
      <c r="K12" s="25">
        <v>4</v>
      </c>
      <c r="L12" s="86">
        <v>12</v>
      </c>
      <c r="M12" s="86">
        <v>26</v>
      </c>
      <c r="N12" s="27">
        <v>32</v>
      </c>
      <c r="O12" s="25">
        <v>3.5</v>
      </c>
      <c r="P12" s="26">
        <v>5.5</v>
      </c>
      <c r="Q12" s="25">
        <v>4.8</v>
      </c>
      <c r="R12" s="26">
        <v>8.5</v>
      </c>
      <c r="S12" s="87">
        <f t="shared" si="1"/>
        <v>120</v>
      </c>
      <c r="T12" s="87">
        <f t="shared" si="2"/>
        <v>320</v>
      </c>
      <c r="U12" s="85">
        <v>1</v>
      </c>
    </row>
    <row r="13" spans="2:21">
      <c r="B13" s="169">
        <v>140</v>
      </c>
      <c r="C13" s="88" t="s">
        <v>29</v>
      </c>
      <c r="D13" s="5">
        <v>19</v>
      </c>
      <c r="E13" s="122">
        <v>5</v>
      </c>
      <c r="F13" s="89">
        <v>3</v>
      </c>
      <c r="G13" s="5"/>
      <c r="H13" s="5"/>
      <c r="I13" s="5">
        <f t="shared" si="0"/>
        <v>95</v>
      </c>
      <c r="J13" s="89">
        <f t="shared" si="0"/>
        <v>57</v>
      </c>
      <c r="K13" s="90">
        <v>4</v>
      </c>
      <c r="L13" s="28">
        <v>12</v>
      </c>
      <c r="M13" s="28">
        <v>26</v>
      </c>
      <c r="N13" s="91">
        <v>32</v>
      </c>
      <c r="O13" s="90"/>
      <c r="P13" s="92"/>
      <c r="Q13" s="90"/>
      <c r="R13" s="92"/>
      <c r="S13" s="93">
        <f t="shared" si="1"/>
        <v>228</v>
      </c>
      <c r="T13" s="93">
        <f t="shared" si="2"/>
        <v>608</v>
      </c>
      <c r="U13" s="117">
        <v>1</v>
      </c>
    </row>
    <row r="14" spans="2:21">
      <c r="B14" s="154"/>
      <c r="C14" s="94" t="s">
        <v>30</v>
      </c>
      <c r="D14" s="6">
        <v>6</v>
      </c>
      <c r="E14" s="124">
        <v>3</v>
      </c>
      <c r="F14" s="95">
        <v>1</v>
      </c>
      <c r="G14" s="6"/>
      <c r="H14" s="6"/>
      <c r="I14" s="6">
        <f t="shared" si="0"/>
        <v>18</v>
      </c>
      <c r="J14" s="95">
        <f t="shared" si="0"/>
        <v>6</v>
      </c>
      <c r="K14" s="90">
        <v>4</v>
      </c>
      <c r="L14" s="28">
        <v>12</v>
      </c>
      <c r="M14" s="28">
        <v>26</v>
      </c>
      <c r="N14" s="91">
        <v>32</v>
      </c>
      <c r="O14" s="90"/>
      <c r="P14" s="92"/>
      <c r="Q14" s="90"/>
      <c r="R14" s="92"/>
      <c r="S14" s="93">
        <f t="shared" si="1"/>
        <v>72</v>
      </c>
      <c r="T14" s="93">
        <f t="shared" si="2"/>
        <v>192</v>
      </c>
      <c r="U14" s="117">
        <v>1</v>
      </c>
    </row>
    <row r="15" spans="2:21" ht="15.75" thickBot="1">
      <c r="B15" s="155"/>
      <c r="C15" s="94" t="s">
        <v>31</v>
      </c>
      <c r="D15" s="6">
        <v>10</v>
      </c>
      <c r="E15" s="124">
        <v>4</v>
      </c>
      <c r="F15" s="95">
        <v>4</v>
      </c>
      <c r="G15" s="6"/>
      <c r="H15" s="6"/>
      <c r="I15" s="6">
        <f t="shared" si="0"/>
        <v>40</v>
      </c>
      <c r="J15" s="95">
        <f t="shared" si="0"/>
        <v>40</v>
      </c>
      <c r="K15" s="96">
        <v>4</v>
      </c>
      <c r="L15" s="97">
        <v>12</v>
      </c>
      <c r="M15" s="97">
        <v>26</v>
      </c>
      <c r="N15" s="98">
        <v>32</v>
      </c>
      <c r="O15" s="96"/>
      <c r="P15" s="99"/>
      <c r="Q15" s="96"/>
      <c r="R15" s="99"/>
      <c r="S15" s="100">
        <f t="shared" si="1"/>
        <v>120</v>
      </c>
      <c r="T15" s="100">
        <f t="shared" si="2"/>
        <v>320</v>
      </c>
      <c r="U15" s="89">
        <v>1</v>
      </c>
    </row>
    <row r="16" spans="2:21">
      <c r="B16" s="170" t="s">
        <v>25</v>
      </c>
      <c r="C16" s="49" t="s">
        <v>32</v>
      </c>
      <c r="D16" s="50">
        <v>2</v>
      </c>
      <c r="E16" s="126">
        <v>2</v>
      </c>
      <c r="F16" s="51">
        <v>1</v>
      </c>
      <c r="G16" s="50"/>
      <c r="H16" s="50"/>
      <c r="I16" s="50">
        <f t="shared" si="0"/>
        <v>4</v>
      </c>
      <c r="J16" s="51">
        <f t="shared" si="0"/>
        <v>2</v>
      </c>
      <c r="K16" s="73">
        <v>1</v>
      </c>
      <c r="L16" s="53">
        <v>4</v>
      </c>
      <c r="M16" s="53">
        <v>10</v>
      </c>
      <c r="N16" s="54">
        <v>16</v>
      </c>
      <c r="O16" s="52"/>
      <c r="P16" s="55"/>
      <c r="Q16" s="52"/>
      <c r="R16" s="55"/>
      <c r="S16" s="56">
        <f>L16*$D16*$U16</f>
        <v>8</v>
      </c>
      <c r="T16" s="56">
        <f>N16*$D16*$U16</f>
        <v>32</v>
      </c>
      <c r="U16" s="112">
        <v>1</v>
      </c>
    </row>
    <row r="17" spans="2:21">
      <c r="B17" s="171"/>
      <c r="C17" s="57" t="s">
        <v>33</v>
      </c>
      <c r="D17" s="58">
        <v>2</v>
      </c>
      <c r="E17" s="127">
        <v>2</v>
      </c>
      <c r="F17" s="59">
        <v>1</v>
      </c>
      <c r="G17" s="58"/>
      <c r="H17" s="58"/>
      <c r="I17" s="58">
        <f t="shared" si="0"/>
        <v>4</v>
      </c>
      <c r="J17" s="59">
        <f t="shared" si="0"/>
        <v>2</v>
      </c>
      <c r="K17" s="74">
        <v>1</v>
      </c>
      <c r="L17" s="61">
        <v>4</v>
      </c>
      <c r="M17" s="61">
        <v>10</v>
      </c>
      <c r="N17" s="62">
        <v>16</v>
      </c>
      <c r="O17" s="60"/>
      <c r="P17" s="63"/>
      <c r="Q17" s="60"/>
      <c r="R17" s="63"/>
      <c r="S17" s="64">
        <f t="shared" ref="S17:S24" si="3">L17*$D17*$U17</f>
        <v>8</v>
      </c>
      <c r="T17" s="64">
        <f t="shared" ref="T17:T24" si="4">N17*$D17*$U17</f>
        <v>32</v>
      </c>
      <c r="U17" s="113">
        <v>1</v>
      </c>
    </row>
    <row r="18" spans="2:21" ht="15.75" thickBot="1">
      <c r="B18" s="172"/>
      <c r="C18" s="65" t="s">
        <v>34</v>
      </c>
      <c r="D18" s="66">
        <v>2</v>
      </c>
      <c r="E18" s="128">
        <v>1</v>
      </c>
      <c r="F18" s="67">
        <v>1</v>
      </c>
      <c r="G18" s="66"/>
      <c r="H18" s="66"/>
      <c r="I18" s="66">
        <f t="shared" si="0"/>
        <v>2</v>
      </c>
      <c r="J18" s="67">
        <f t="shared" si="0"/>
        <v>2</v>
      </c>
      <c r="K18" s="75">
        <v>1</v>
      </c>
      <c r="L18" s="69">
        <v>4</v>
      </c>
      <c r="M18" s="69">
        <v>10</v>
      </c>
      <c r="N18" s="70">
        <v>16</v>
      </c>
      <c r="O18" s="68"/>
      <c r="P18" s="71"/>
      <c r="Q18" s="68"/>
      <c r="R18" s="71"/>
      <c r="S18" s="72">
        <f t="shared" si="3"/>
        <v>8</v>
      </c>
      <c r="T18" s="72">
        <f t="shared" si="4"/>
        <v>32</v>
      </c>
      <c r="U18" s="114">
        <v>1</v>
      </c>
    </row>
    <row r="19" spans="2:21">
      <c r="B19" s="167">
        <v>76</v>
      </c>
      <c r="C19" s="38" t="s">
        <v>35</v>
      </c>
      <c r="D19" s="39">
        <v>2</v>
      </c>
      <c r="E19" s="132">
        <v>5</v>
      </c>
      <c r="F19" s="40">
        <v>3</v>
      </c>
      <c r="G19" s="39"/>
      <c r="H19" s="39"/>
      <c r="I19" s="39">
        <f t="shared" si="0"/>
        <v>10</v>
      </c>
      <c r="J19" s="40">
        <f t="shared" si="0"/>
        <v>6</v>
      </c>
      <c r="K19" s="77">
        <v>1</v>
      </c>
      <c r="L19" s="78">
        <v>4</v>
      </c>
      <c r="M19" s="78">
        <v>26</v>
      </c>
      <c r="N19" s="79">
        <v>32</v>
      </c>
      <c r="O19" s="77"/>
      <c r="P19" s="80"/>
      <c r="Q19" s="77"/>
      <c r="R19" s="80"/>
      <c r="S19" s="81">
        <f t="shared" si="3"/>
        <v>8</v>
      </c>
      <c r="T19" s="81">
        <f t="shared" si="4"/>
        <v>64</v>
      </c>
      <c r="U19" s="118">
        <v>1</v>
      </c>
    </row>
    <row r="20" spans="2:21" ht="15.75" thickBot="1">
      <c r="B20" s="168"/>
      <c r="C20" s="41" t="s">
        <v>36</v>
      </c>
      <c r="D20" s="42">
        <v>2</v>
      </c>
      <c r="E20" s="130">
        <v>3</v>
      </c>
      <c r="F20" s="43">
        <v>1</v>
      </c>
      <c r="G20" s="42"/>
      <c r="H20" s="42"/>
      <c r="I20" s="42">
        <f t="shared" si="0"/>
        <v>6</v>
      </c>
      <c r="J20" s="43">
        <f t="shared" si="0"/>
        <v>2</v>
      </c>
      <c r="K20" s="44">
        <v>1</v>
      </c>
      <c r="L20" s="45">
        <v>4</v>
      </c>
      <c r="M20" s="45">
        <v>26</v>
      </c>
      <c r="N20" s="46">
        <v>32</v>
      </c>
      <c r="O20" s="44"/>
      <c r="P20" s="47"/>
      <c r="Q20" s="44"/>
      <c r="R20" s="47"/>
      <c r="S20" s="48">
        <f t="shared" si="3"/>
        <v>8</v>
      </c>
      <c r="T20" s="48">
        <f t="shared" si="4"/>
        <v>64</v>
      </c>
      <c r="U20" s="116">
        <v>1</v>
      </c>
    </row>
    <row r="21" spans="2:21" ht="15.75" thickBot="1">
      <c r="B21" s="82">
        <v>107</v>
      </c>
      <c r="C21" s="83" t="s">
        <v>37</v>
      </c>
      <c r="D21" s="84">
        <v>2</v>
      </c>
      <c r="E21" s="131">
        <v>4</v>
      </c>
      <c r="F21" s="85">
        <v>4</v>
      </c>
      <c r="G21" s="84"/>
      <c r="H21" s="84"/>
      <c r="I21" s="84">
        <f t="shared" si="0"/>
        <v>8</v>
      </c>
      <c r="J21" s="85">
        <f t="shared" si="0"/>
        <v>8</v>
      </c>
      <c r="K21" s="25">
        <v>1</v>
      </c>
      <c r="L21" s="86">
        <v>4</v>
      </c>
      <c r="M21" s="86">
        <v>26</v>
      </c>
      <c r="N21" s="27">
        <v>32</v>
      </c>
      <c r="O21" s="25"/>
      <c r="P21" s="26"/>
      <c r="Q21" s="25"/>
      <c r="R21" s="26"/>
      <c r="S21" s="87">
        <f t="shared" si="3"/>
        <v>8</v>
      </c>
      <c r="T21" s="87">
        <f t="shared" si="4"/>
        <v>64</v>
      </c>
      <c r="U21" s="85">
        <v>1</v>
      </c>
    </row>
    <row r="22" spans="2:21">
      <c r="B22" s="154">
        <v>140</v>
      </c>
      <c r="C22" s="94" t="s">
        <v>35</v>
      </c>
      <c r="D22" s="6">
        <v>2</v>
      </c>
      <c r="E22" s="124">
        <v>5</v>
      </c>
      <c r="F22" s="95">
        <v>3</v>
      </c>
      <c r="G22" s="6"/>
      <c r="H22" s="6"/>
      <c r="I22" s="6">
        <f t="shared" si="0"/>
        <v>10</v>
      </c>
      <c r="J22" s="95">
        <f t="shared" si="0"/>
        <v>6</v>
      </c>
      <c r="K22" s="101">
        <v>1</v>
      </c>
      <c r="L22" s="102">
        <v>4</v>
      </c>
      <c r="M22" s="102">
        <v>26</v>
      </c>
      <c r="N22" s="103">
        <v>32</v>
      </c>
      <c r="O22" s="101"/>
      <c r="P22" s="104"/>
      <c r="Q22" s="101"/>
      <c r="R22" s="104"/>
      <c r="S22" s="105">
        <f t="shared" si="3"/>
        <v>8</v>
      </c>
      <c r="T22" s="105">
        <f t="shared" si="4"/>
        <v>64</v>
      </c>
      <c r="U22" s="119">
        <v>1</v>
      </c>
    </row>
    <row r="23" spans="2:21">
      <c r="B23" s="154"/>
      <c r="C23" s="94" t="s">
        <v>36</v>
      </c>
      <c r="D23" s="6">
        <v>2</v>
      </c>
      <c r="E23" s="124">
        <v>3</v>
      </c>
      <c r="F23" s="95">
        <v>1</v>
      </c>
      <c r="G23" s="6"/>
      <c r="H23" s="6"/>
      <c r="I23" s="6">
        <f t="shared" si="0"/>
        <v>6</v>
      </c>
      <c r="J23" s="95">
        <f t="shared" si="0"/>
        <v>2</v>
      </c>
      <c r="K23" s="90">
        <v>1</v>
      </c>
      <c r="L23" s="28">
        <v>4</v>
      </c>
      <c r="M23" s="28">
        <v>26</v>
      </c>
      <c r="N23" s="91">
        <v>32</v>
      </c>
      <c r="O23" s="90"/>
      <c r="P23" s="92"/>
      <c r="Q23" s="90"/>
      <c r="R23" s="92"/>
      <c r="S23" s="93">
        <f t="shared" si="3"/>
        <v>8</v>
      </c>
      <c r="T23" s="93">
        <f t="shared" si="4"/>
        <v>64</v>
      </c>
      <c r="U23" s="117">
        <v>1</v>
      </c>
    </row>
    <row r="24" spans="2:21" ht="15.75" thickBot="1">
      <c r="B24" s="155"/>
      <c r="C24" s="106" t="s">
        <v>37</v>
      </c>
      <c r="D24" s="12">
        <v>2</v>
      </c>
      <c r="E24" s="133">
        <v>4</v>
      </c>
      <c r="F24" s="107">
        <v>4</v>
      </c>
      <c r="G24" s="12"/>
      <c r="H24" s="12"/>
      <c r="I24" s="12">
        <f t="shared" si="0"/>
        <v>8</v>
      </c>
      <c r="J24" s="107">
        <f t="shared" si="0"/>
        <v>8</v>
      </c>
      <c r="K24" s="108">
        <v>1</v>
      </c>
      <c r="L24" s="29">
        <v>4</v>
      </c>
      <c r="M24" s="29">
        <v>26</v>
      </c>
      <c r="N24" s="109">
        <v>32</v>
      </c>
      <c r="O24" s="108"/>
      <c r="P24" s="110"/>
      <c r="Q24" s="108"/>
      <c r="R24" s="110"/>
      <c r="S24" s="111">
        <f t="shared" si="3"/>
        <v>8</v>
      </c>
      <c r="T24" s="111">
        <f t="shared" si="4"/>
        <v>64</v>
      </c>
      <c r="U24" s="120">
        <v>1</v>
      </c>
    </row>
    <row r="25" spans="2:21">
      <c r="C25" s="1"/>
      <c r="S25" s="21">
        <f>SUM(S7:S24)</f>
        <v>936</v>
      </c>
      <c r="T25" s="22">
        <f>SUM(T7:T24)</f>
        <v>2816</v>
      </c>
    </row>
    <row r="26" spans="2:21" ht="15.75" thickBot="1">
      <c r="S26" s="23">
        <v>936</v>
      </c>
      <c r="T26" s="24">
        <v>2816</v>
      </c>
    </row>
    <row r="27" spans="2:21">
      <c r="S27">
        <f>S26-S25</f>
        <v>0</v>
      </c>
      <c r="T27">
        <f>T26-T25</f>
        <v>0</v>
      </c>
    </row>
  </sheetData>
  <mergeCells count="24">
    <mergeCell ref="B22:B24"/>
    <mergeCell ref="K4:L4"/>
    <mergeCell ref="M4:N4"/>
    <mergeCell ref="K5:L5"/>
    <mergeCell ref="M5:N5"/>
    <mergeCell ref="K6:L6"/>
    <mergeCell ref="M6:N6"/>
    <mergeCell ref="B7:B9"/>
    <mergeCell ref="B10:B11"/>
    <mergeCell ref="B13:B15"/>
    <mergeCell ref="B16:B18"/>
    <mergeCell ref="B19:B20"/>
    <mergeCell ref="U2:U3"/>
    <mergeCell ref="C2:C3"/>
    <mergeCell ref="D2:D3"/>
    <mergeCell ref="E2:F2"/>
    <mergeCell ref="G2:H2"/>
    <mergeCell ref="I2:J2"/>
    <mergeCell ref="K2:L2"/>
    <mergeCell ref="M2:N2"/>
    <mergeCell ref="O2:P2"/>
    <mergeCell ref="Q2:R2"/>
    <mergeCell ref="S2:S3"/>
    <mergeCell ref="T2:T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A3C47-5860-48FC-A086-F73B2EE2B12E}">
  <dimension ref="B2:U27"/>
  <sheetViews>
    <sheetView workbookViewId="0" xr3:uid="{CE03C769-7BE7-52EE-AE28-53945940CD4D}">
      <selection activeCell="L27" sqref="L27"/>
    </sheetView>
  </sheetViews>
  <sheetFormatPr defaultRowHeight="15"/>
  <cols>
    <col min="3" max="3" width="28.140625" customWidth="1"/>
    <col min="4" max="4" width="3.5703125" bestFit="1" customWidth="1"/>
    <col min="5" max="5" width="11.42578125" bestFit="1" customWidth="1"/>
    <col min="6" max="6" width="9.28515625" customWidth="1"/>
    <col min="7" max="7" width="11.42578125" bestFit="1" customWidth="1"/>
    <col min="8" max="8" width="10" bestFit="1" customWidth="1"/>
    <col min="9" max="9" width="11.42578125" bestFit="1" customWidth="1"/>
    <col min="10" max="10" width="10" bestFit="1" customWidth="1"/>
  </cols>
  <sheetData>
    <row r="2" spans="2:21">
      <c r="C2" s="139" t="s">
        <v>0</v>
      </c>
      <c r="D2" s="141" t="s">
        <v>1</v>
      </c>
      <c r="E2" s="141" t="s">
        <v>2</v>
      </c>
      <c r="F2" s="141"/>
      <c r="G2" s="141" t="s">
        <v>3</v>
      </c>
      <c r="H2" s="141"/>
      <c r="I2" s="143" t="s">
        <v>4</v>
      </c>
      <c r="J2" s="144"/>
      <c r="K2" s="145" t="s">
        <v>5</v>
      </c>
      <c r="L2" s="146"/>
      <c r="M2" s="147" t="s">
        <v>6</v>
      </c>
      <c r="N2" s="148"/>
      <c r="O2" s="149" t="s">
        <v>7</v>
      </c>
      <c r="P2" s="150"/>
      <c r="Q2" s="149" t="s">
        <v>8</v>
      </c>
      <c r="R2" s="148"/>
      <c r="S2" s="145" t="s">
        <v>9</v>
      </c>
      <c r="T2" s="152" t="s">
        <v>10</v>
      </c>
      <c r="U2" s="137" t="s">
        <v>11</v>
      </c>
    </row>
    <row r="3" spans="2:21">
      <c r="C3" s="140"/>
      <c r="D3" s="142"/>
      <c r="E3" s="121" t="s">
        <v>12</v>
      </c>
      <c r="F3" s="76" t="s">
        <v>13</v>
      </c>
      <c r="G3" t="s">
        <v>12</v>
      </c>
      <c r="H3" t="s">
        <v>13</v>
      </c>
      <c r="I3" t="s">
        <v>12</v>
      </c>
      <c r="J3" s="7" t="s">
        <v>13</v>
      </c>
      <c r="K3" s="14" t="s">
        <v>14</v>
      </c>
      <c r="L3" s="13" t="s">
        <v>15</v>
      </c>
      <c r="M3" s="13" t="s">
        <v>14</v>
      </c>
      <c r="N3" s="18" t="s">
        <v>15</v>
      </c>
      <c r="O3" s="14" t="s">
        <v>5</v>
      </c>
      <c r="P3" s="15" t="s">
        <v>6</v>
      </c>
      <c r="Q3" s="14" t="s">
        <v>5</v>
      </c>
      <c r="R3" s="18" t="s">
        <v>6</v>
      </c>
      <c r="S3" s="151"/>
      <c r="T3" s="153"/>
      <c r="U3" s="138"/>
    </row>
    <row r="4" spans="2:21">
      <c r="C4" s="8" t="s">
        <v>16</v>
      </c>
      <c r="D4" s="2">
        <v>13</v>
      </c>
      <c r="E4" s="122">
        <v>8</v>
      </c>
      <c r="F4" s="123">
        <v>8</v>
      </c>
      <c r="G4" s="2" t="s">
        <v>17</v>
      </c>
      <c r="H4" s="2" t="s">
        <v>18</v>
      </c>
      <c r="I4" s="3">
        <f>$D4*E4</f>
        <v>104</v>
      </c>
      <c r="J4" s="9">
        <f>$D4*F4</f>
        <v>104</v>
      </c>
      <c r="K4" s="156">
        <v>8</v>
      </c>
      <c r="L4" s="157"/>
      <c r="M4" s="158">
        <v>18</v>
      </c>
      <c r="N4" s="159"/>
      <c r="O4" s="10">
        <v>3</v>
      </c>
      <c r="P4" s="7">
        <v>6.5</v>
      </c>
      <c r="Q4" s="10">
        <v>10</v>
      </c>
      <c r="R4">
        <v>12</v>
      </c>
      <c r="S4" s="16">
        <f>D4*K4</f>
        <v>104</v>
      </c>
      <c r="T4" s="17">
        <f>M4*D4</f>
        <v>234</v>
      </c>
      <c r="U4" s="19">
        <v>1</v>
      </c>
    </row>
    <row r="5" spans="2:21">
      <c r="C5" s="10" t="s">
        <v>19</v>
      </c>
      <c r="D5">
        <v>4</v>
      </c>
      <c r="E5" s="124">
        <v>5</v>
      </c>
      <c r="F5" s="125">
        <v>3</v>
      </c>
      <c r="G5" t="s">
        <v>20</v>
      </c>
      <c r="H5" t="s">
        <v>21</v>
      </c>
      <c r="I5" s="4">
        <f t="shared" ref="I5:J24" si="0">$D5*E5</f>
        <v>20</v>
      </c>
      <c r="J5" s="11">
        <f t="shared" si="0"/>
        <v>12</v>
      </c>
      <c r="K5" s="160">
        <v>8</v>
      </c>
      <c r="L5" s="161"/>
      <c r="M5" s="162">
        <v>32</v>
      </c>
      <c r="N5" s="163"/>
      <c r="O5" s="10">
        <v>4</v>
      </c>
      <c r="P5" s="7">
        <v>18</v>
      </c>
      <c r="Q5" s="10">
        <v>6.5</v>
      </c>
      <c r="R5">
        <v>19</v>
      </c>
      <c r="S5" s="16">
        <f>D5*K5</f>
        <v>32</v>
      </c>
      <c r="T5" s="17">
        <f>M5*D5</f>
        <v>128</v>
      </c>
      <c r="U5" s="19">
        <v>1</v>
      </c>
    </row>
    <row r="6" spans="2:21">
      <c r="C6" s="10" t="s">
        <v>22</v>
      </c>
      <c r="D6">
        <v>5</v>
      </c>
      <c r="E6" s="124">
        <v>8</v>
      </c>
      <c r="F6" s="125">
        <v>8</v>
      </c>
      <c r="G6" t="s">
        <v>23</v>
      </c>
      <c r="H6" t="s">
        <v>24</v>
      </c>
      <c r="I6" s="4">
        <f t="shared" si="0"/>
        <v>40</v>
      </c>
      <c r="J6" s="11">
        <f t="shared" si="0"/>
        <v>40</v>
      </c>
      <c r="K6" s="160">
        <v>8</v>
      </c>
      <c r="L6" s="161"/>
      <c r="M6" s="162">
        <v>16</v>
      </c>
      <c r="N6" s="163"/>
      <c r="O6" s="10">
        <v>4</v>
      </c>
      <c r="P6" s="7">
        <v>7</v>
      </c>
      <c r="Q6" s="10">
        <v>25</v>
      </c>
      <c r="R6">
        <v>13</v>
      </c>
      <c r="S6" s="16">
        <f>D6*K6</f>
        <v>40</v>
      </c>
      <c r="T6" s="17">
        <f>M6*D6</f>
        <v>80</v>
      </c>
      <c r="U6" s="20">
        <v>1</v>
      </c>
    </row>
    <row r="7" spans="2:21">
      <c r="B7" s="164" t="s">
        <v>25</v>
      </c>
      <c r="C7" s="49" t="s">
        <v>26</v>
      </c>
      <c r="D7" s="50">
        <v>2</v>
      </c>
      <c r="E7" s="126">
        <v>2</v>
      </c>
      <c r="F7" s="51">
        <v>1</v>
      </c>
      <c r="G7" s="50"/>
      <c r="H7" s="50"/>
      <c r="I7" s="50">
        <f t="shared" si="0"/>
        <v>4</v>
      </c>
      <c r="J7" s="51">
        <f t="shared" si="0"/>
        <v>2</v>
      </c>
      <c r="K7" s="52">
        <v>1</v>
      </c>
      <c r="L7" s="53">
        <v>4</v>
      </c>
      <c r="M7" s="53">
        <v>10</v>
      </c>
      <c r="N7" s="54">
        <v>16</v>
      </c>
      <c r="O7" s="52"/>
      <c r="P7" s="55"/>
      <c r="Q7" s="52"/>
      <c r="R7" s="55"/>
      <c r="S7" s="56">
        <f>L7*$D7*$U7</f>
        <v>8</v>
      </c>
      <c r="T7" s="56">
        <f>N7*$D7*$U7</f>
        <v>32</v>
      </c>
      <c r="U7" s="112">
        <v>1</v>
      </c>
    </row>
    <row r="8" spans="2:21">
      <c r="B8" s="165"/>
      <c r="C8" s="57" t="s">
        <v>27</v>
      </c>
      <c r="D8" s="135">
        <v>4</v>
      </c>
      <c r="E8" s="127">
        <v>2</v>
      </c>
      <c r="F8" s="59">
        <v>1</v>
      </c>
      <c r="G8" s="58"/>
      <c r="H8" s="58"/>
      <c r="I8" s="58">
        <f t="shared" si="0"/>
        <v>8</v>
      </c>
      <c r="J8" s="59">
        <f t="shared" si="0"/>
        <v>4</v>
      </c>
      <c r="K8" s="60">
        <v>1</v>
      </c>
      <c r="L8" s="61">
        <v>4</v>
      </c>
      <c r="M8" s="61">
        <v>10</v>
      </c>
      <c r="N8" s="62">
        <v>16</v>
      </c>
      <c r="O8" s="60"/>
      <c r="P8" s="63"/>
      <c r="Q8" s="60"/>
      <c r="R8" s="63"/>
      <c r="S8" s="64">
        <f t="shared" ref="S8:S15" si="1">L8*$D8*$U8</f>
        <v>16</v>
      </c>
      <c r="T8" s="64">
        <f t="shared" ref="T8:T15" si="2">N8*$D8*$U8</f>
        <v>64</v>
      </c>
      <c r="U8" s="113">
        <v>1</v>
      </c>
    </row>
    <row r="9" spans="2:21">
      <c r="B9" s="166"/>
      <c r="C9" s="65" t="s">
        <v>28</v>
      </c>
      <c r="D9" s="66">
        <v>2</v>
      </c>
      <c r="E9" s="128">
        <v>1</v>
      </c>
      <c r="F9" s="67">
        <v>1</v>
      </c>
      <c r="G9" s="66"/>
      <c r="H9" s="66"/>
      <c r="I9" s="66">
        <f t="shared" si="0"/>
        <v>2</v>
      </c>
      <c r="J9" s="67">
        <f t="shared" si="0"/>
        <v>2</v>
      </c>
      <c r="K9" s="68">
        <v>1</v>
      </c>
      <c r="L9" s="69">
        <v>4</v>
      </c>
      <c r="M9" s="69">
        <v>10</v>
      </c>
      <c r="N9" s="70">
        <v>16</v>
      </c>
      <c r="O9" s="68"/>
      <c r="P9" s="71"/>
      <c r="Q9" s="68"/>
      <c r="R9" s="71"/>
      <c r="S9" s="72">
        <f t="shared" si="1"/>
        <v>8</v>
      </c>
      <c r="T9" s="72">
        <f t="shared" si="2"/>
        <v>32</v>
      </c>
      <c r="U9" s="114">
        <v>1</v>
      </c>
    </row>
    <row r="10" spans="2:21">
      <c r="B10" s="167">
        <v>76</v>
      </c>
      <c r="C10" s="30" t="s">
        <v>29</v>
      </c>
      <c r="D10" s="31">
        <v>19</v>
      </c>
      <c r="E10" s="129">
        <v>5</v>
      </c>
      <c r="F10" s="32">
        <v>3</v>
      </c>
      <c r="G10" s="31"/>
      <c r="H10" s="31"/>
      <c r="I10" s="31">
        <f t="shared" si="0"/>
        <v>95</v>
      </c>
      <c r="J10" s="32">
        <f t="shared" si="0"/>
        <v>57</v>
      </c>
      <c r="K10" s="33">
        <v>4</v>
      </c>
      <c r="L10" s="34">
        <v>12</v>
      </c>
      <c r="M10" s="34">
        <v>26</v>
      </c>
      <c r="N10" s="35">
        <v>32</v>
      </c>
      <c r="O10" s="33"/>
      <c r="P10" s="36"/>
      <c r="Q10" s="33"/>
      <c r="R10" s="36"/>
      <c r="S10" s="37">
        <f t="shared" si="1"/>
        <v>228</v>
      </c>
      <c r="T10" s="37">
        <f t="shared" si="2"/>
        <v>608</v>
      </c>
      <c r="U10" s="115">
        <v>1</v>
      </c>
    </row>
    <row r="11" spans="2:21">
      <c r="B11" s="168"/>
      <c r="C11" s="41" t="s">
        <v>30</v>
      </c>
      <c r="D11" s="134">
        <v>8</v>
      </c>
      <c r="E11" s="130">
        <v>3</v>
      </c>
      <c r="F11" s="43">
        <v>1</v>
      </c>
      <c r="G11" s="42"/>
      <c r="H11" s="42"/>
      <c r="I11" s="42">
        <f t="shared" si="0"/>
        <v>24</v>
      </c>
      <c r="J11" s="43">
        <f t="shared" si="0"/>
        <v>8</v>
      </c>
      <c r="K11" s="44">
        <v>4</v>
      </c>
      <c r="L11" s="45">
        <v>12</v>
      </c>
      <c r="M11" s="34">
        <v>26</v>
      </c>
      <c r="N11" s="35">
        <v>32</v>
      </c>
      <c r="O11" s="44"/>
      <c r="P11" s="47"/>
      <c r="Q11" s="44"/>
      <c r="R11" s="47"/>
      <c r="S11" s="48">
        <f t="shared" si="1"/>
        <v>96</v>
      </c>
      <c r="T11" s="48">
        <f t="shared" si="2"/>
        <v>256</v>
      </c>
      <c r="U11" s="116">
        <v>1</v>
      </c>
    </row>
    <row r="12" spans="2:21">
      <c r="B12" s="82">
        <v>107</v>
      </c>
      <c r="C12" s="83" t="s">
        <v>31</v>
      </c>
      <c r="D12" s="84">
        <v>10</v>
      </c>
      <c r="E12" s="131">
        <v>4</v>
      </c>
      <c r="F12" s="85">
        <v>4</v>
      </c>
      <c r="G12" s="84"/>
      <c r="H12" s="84"/>
      <c r="I12" s="84">
        <f t="shared" si="0"/>
        <v>40</v>
      </c>
      <c r="J12" s="85">
        <f t="shared" si="0"/>
        <v>40</v>
      </c>
      <c r="K12" s="25">
        <v>4</v>
      </c>
      <c r="L12" s="86">
        <v>12</v>
      </c>
      <c r="M12" s="86">
        <v>26</v>
      </c>
      <c r="N12" s="27">
        <v>32</v>
      </c>
      <c r="O12" s="25">
        <v>3.5</v>
      </c>
      <c r="P12" s="26">
        <v>5.5</v>
      </c>
      <c r="Q12" s="25">
        <v>4.8</v>
      </c>
      <c r="R12" s="26">
        <v>8.5</v>
      </c>
      <c r="S12" s="87">
        <f t="shared" si="1"/>
        <v>0</v>
      </c>
      <c r="T12" s="87">
        <f t="shared" si="2"/>
        <v>0</v>
      </c>
      <c r="U12" s="136">
        <v>0</v>
      </c>
    </row>
    <row r="13" spans="2:21">
      <c r="B13" s="169">
        <v>140</v>
      </c>
      <c r="C13" s="88" t="s">
        <v>29</v>
      </c>
      <c r="D13" s="5">
        <v>19</v>
      </c>
      <c r="E13" s="122">
        <v>5</v>
      </c>
      <c r="F13" s="89">
        <v>3</v>
      </c>
      <c r="G13" s="5"/>
      <c r="H13" s="5"/>
      <c r="I13" s="5">
        <f t="shared" si="0"/>
        <v>95</v>
      </c>
      <c r="J13" s="89">
        <f t="shared" si="0"/>
        <v>57</v>
      </c>
      <c r="K13" s="90">
        <v>4</v>
      </c>
      <c r="L13" s="28">
        <v>12</v>
      </c>
      <c r="M13" s="28">
        <v>26</v>
      </c>
      <c r="N13" s="91">
        <v>32</v>
      </c>
      <c r="O13" s="90"/>
      <c r="P13" s="92"/>
      <c r="Q13" s="90"/>
      <c r="R13" s="92"/>
      <c r="S13" s="93">
        <f t="shared" si="1"/>
        <v>228</v>
      </c>
      <c r="T13" s="93">
        <f t="shared" si="2"/>
        <v>608</v>
      </c>
      <c r="U13" s="117">
        <v>1</v>
      </c>
    </row>
    <row r="14" spans="2:21">
      <c r="B14" s="154"/>
      <c r="C14" s="94" t="s">
        <v>30</v>
      </c>
      <c r="D14" s="135">
        <v>8</v>
      </c>
      <c r="E14" s="124">
        <v>3</v>
      </c>
      <c r="F14" s="95">
        <v>1</v>
      </c>
      <c r="G14" s="6"/>
      <c r="H14" s="6"/>
      <c r="I14" s="6">
        <f t="shared" si="0"/>
        <v>24</v>
      </c>
      <c r="J14" s="95">
        <f t="shared" si="0"/>
        <v>8</v>
      </c>
      <c r="K14" s="90">
        <v>4</v>
      </c>
      <c r="L14" s="28">
        <v>12</v>
      </c>
      <c r="M14" s="28">
        <v>26</v>
      </c>
      <c r="N14" s="91">
        <v>32</v>
      </c>
      <c r="O14" s="90"/>
      <c r="P14" s="92"/>
      <c r="Q14" s="90"/>
      <c r="R14" s="92"/>
      <c r="S14" s="93">
        <f t="shared" si="1"/>
        <v>96</v>
      </c>
      <c r="T14" s="93">
        <f t="shared" si="2"/>
        <v>256</v>
      </c>
      <c r="U14" s="117">
        <v>1</v>
      </c>
    </row>
    <row r="15" spans="2:21">
      <c r="B15" s="155"/>
      <c r="C15" s="94" t="s">
        <v>31</v>
      </c>
      <c r="D15" s="6">
        <v>10</v>
      </c>
      <c r="E15" s="124">
        <v>4</v>
      </c>
      <c r="F15" s="95">
        <v>4</v>
      </c>
      <c r="G15" s="6"/>
      <c r="H15" s="6"/>
      <c r="I15" s="6">
        <f t="shared" si="0"/>
        <v>40</v>
      </c>
      <c r="J15" s="95">
        <f t="shared" si="0"/>
        <v>40</v>
      </c>
      <c r="K15" s="96">
        <v>4</v>
      </c>
      <c r="L15" s="97">
        <v>12</v>
      </c>
      <c r="M15" s="97">
        <v>26</v>
      </c>
      <c r="N15" s="98">
        <v>32</v>
      </c>
      <c r="O15" s="96"/>
      <c r="P15" s="99"/>
      <c r="Q15" s="96"/>
      <c r="R15" s="99"/>
      <c r="S15" s="100">
        <f t="shared" si="1"/>
        <v>120</v>
      </c>
      <c r="T15" s="100">
        <f t="shared" si="2"/>
        <v>320</v>
      </c>
      <c r="U15" s="89">
        <v>1</v>
      </c>
    </row>
    <row r="16" spans="2:21">
      <c r="B16" s="170" t="s">
        <v>25</v>
      </c>
      <c r="C16" s="49" t="s">
        <v>32</v>
      </c>
      <c r="D16" s="50">
        <v>2</v>
      </c>
      <c r="E16" s="126">
        <v>2</v>
      </c>
      <c r="F16" s="51">
        <v>1</v>
      </c>
      <c r="G16" s="50"/>
      <c r="H16" s="50"/>
      <c r="I16" s="50">
        <f t="shared" si="0"/>
        <v>4</v>
      </c>
      <c r="J16" s="51">
        <f t="shared" si="0"/>
        <v>2</v>
      </c>
      <c r="K16" s="73">
        <v>1</v>
      </c>
      <c r="L16" s="53">
        <v>4</v>
      </c>
      <c r="M16" s="53">
        <v>10</v>
      </c>
      <c r="N16" s="54">
        <v>16</v>
      </c>
      <c r="O16" s="52"/>
      <c r="P16" s="55"/>
      <c r="Q16" s="52"/>
      <c r="R16" s="55"/>
      <c r="S16" s="56">
        <f>L16*$D16*$U16</f>
        <v>8</v>
      </c>
      <c r="T16" s="56">
        <f>N16*$D16*$U16</f>
        <v>32</v>
      </c>
      <c r="U16" s="112">
        <v>1</v>
      </c>
    </row>
    <row r="17" spans="2:21">
      <c r="B17" s="171"/>
      <c r="C17" s="57" t="s">
        <v>33</v>
      </c>
      <c r="D17" s="58">
        <v>2</v>
      </c>
      <c r="E17" s="127">
        <v>2</v>
      </c>
      <c r="F17" s="59">
        <v>1</v>
      </c>
      <c r="G17" s="58"/>
      <c r="H17" s="58"/>
      <c r="I17" s="58">
        <f t="shared" si="0"/>
        <v>4</v>
      </c>
      <c r="J17" s="59">
        <f t="shared" si="0"/>
        <v>2</v>
      </c>
      <c r="K17" s="74">
        <v>1</v>
      </c>
      <c r="L17" s="61">
        <v>4</v>
      </c>
      <c r="M17" s="61">
        <v>10</v>
      </c>
      <c r="N17" s="62">
        <v>16</v>
      </c>
      <c r="O17" s="60"/>
      <c r="P17" s="63"/>
      <c r="Q17" s="60"/>
      <c r="R17" s="63"/>
      <c r="S17" s="64">
        <f t="shared" ref="S17:S24" si="3">L17*$D17*$U17</f>
        <v>8</v>
      </c>
      <c r="T17" s="64">
        <f t="shared" ref="T17:T24" si="4">N17*$D17*$U17</f>
        <v>32</v>
      </c>
      <c r="U17" s="113">
        <v>1</v>
      </c>
    </row>
    <row r="18" spans="2:21">
      <c r="B18" s="172"/>
      <c r="C18" s="65" t="s">
        <v>34</v>
      </c>
      <c r="D18" s="66">
        <v>2</v>
      </c>
      <c r="E18" s="128">
        <v>1</v>
      </c>
      <c r="F18" s="67">
        <v>1</v>
      </c>
      <c r="G18" s="66"/>
      <c r="H18" s="66"/>
      <c r="I18" s="66">
        <f t="shared" si="0"/>
        <v>2</v>
      </c>
      <c r="J18" s="67">
        <f t="shared" si="0"/>
        <v>2</v>
      </c>
      <c r="K18" s="75">
        <v>1</v>
      </c>
      <c r="L18" s="69">
        <v>4</v>
      </c>
      <c r="M18" s="69">
        <v>10</v>
      </c>
      <c r="N18" s="70">
        <v>16</v>
      </c>
      <c r="O18" s="68"/>
      <c r="P18" s="71"/>
      <c r="Q18" s="68"/>
      <c r="R18" s="71"/>
      <c r="S18" s="72">
        <f t="shared" si="3"/>
        <v>8</v>
      </c>
      <c r="T18" s="72">
        <f t="shared" si="4"/>
        <v>32</v>
      </c>
      <c r="U18" s="114">
        <v>1</v>
      </c>
    </row>
    <row r="19" spans="2:21">
      <c r="B19" s="167">
        <v>76</v>
      </c>
      <c r="C19" s="38" t="s">
        <v>35</v>
      </c>
      <c r="D19" s="39">
        <v>2</v>
      </c>
      <c r="E19" s="132">
        <v>5</v>
      </c>
      <c r="F19" s="40">
        <v>3</v>
      </c>
      <c r="G19" s="39"/>
      <c r="H19" s="39"/>
      <c r="I19" s="39">
        <f t="shared" si="0"/>
        <v>10</v>
      </c>
      <c r="J19" s="40">
        <f t="shared" si="0"/>
        <v>6</v>
      </c>
      <c r="K19" s="77">
        <v>1</v>
      </c>
      <c r="L19" s="78">
        <v>4</v>
      </c>
      <c r="M19" s="78">
        <v>26</v>
      </c>
      <c r="N19" s="79">
        <v>32</v>
      </c>
      <c r="O19" s="77"/>
      <c r="P19" s="80"/>
      <c r="Q19" s="77"/>
      <c r="R19" s="80"/>
      <c r="S19" s="81">
        <f t="shared" si="3"/>
        <v>8</v>
      </c>
      <c r="T19" s="81">
        <f t="shared" si="4"/>
        <v>64</v>
      </c>
      <c r="U19" s="118">
        <v>1</v>
      </c>
    </row>
    <row r="20" spans="2:21">
      <c r="B20" s="168"/>
      <c r="C20" s="41" t="s">
        <v>36</v>
      </c>
      <c r="D20" s="42">
        <v>2</v>
      </c>
      <c r="E20" s="130">
        <v>3</v>
      </c>
      <c r="F20" s="43">
        <v>1</v>
      </c>
      <c r="G20" s="42"/>
      <c r="H20" s="42"/>
      <c r="I20" s="42">
        <f t="shared" si="0"/>
        <v>6</v>
      </c>
      <c r="J20" s="43">
        <f t="shared" si="0"/>
        <v>2</v>
      </c>
      <c r="K20" s="44">
        <v>1</v>
      </c>
      <c r="L20" s="45">
        <v>4</v>
      </c>
      <c r="M20" s="45">
        <v>26</v>
      </c>
      <c r="N20" s="46">
        <v>32</v>
      </c>
      <c r="O20" s="44"/>
      <c r="P20" s="47"/>
      <c r="Q20" s="44"/>
      <c r="R20" s="47"/>
      <c r="S20" s="48">
        <f t="shared" si="3"/>
        <v>8</v>
      </c>
      <c r="T20" s="48">
        <f t="shared" si="4"/>
        <v>64</v>
      </c>
      <c r="U20" s="116">
        <v>1</v>
      </c>
    </row>
    <row r="21" spans="2:21">
      <c r="B21" s="82">
        <v>107</v>
      </c>
      <c r="C21" s="83" t="s">
        <v>37</v>
      </c>
      <c r="D21" s="84">
        <v>2</v>
      </c>
      <c r="E21" s="131">
        <v>4</v>
      </c>
      <c r="F21" s="85">
        <v>4</v>
      </c>
      <c r="G21" s="84"/>
      <c r="H21" s="84"/>
      <c r="I21" s="84">
        <f t="shared" si="0"/>
        <v>8</v>
      </c>
      <c r="J21" s="85">
        <f t="shared" si="0"/>
        <v>8</v>
      </c>
      <c r="K21" s="25">
        <v>1</v>
      </c>
      <c r="L21" s="86">
        <v>4</v>
      </c>
      <c r="M21" s="86">
        <v>26</v>
      </c>
      <c r="N21" s="27">
        <v>32</v>
      </c>
      <c r="O21" s="25"/>
      <c r="P21" s="26"/>
      <c r="Q21" s="25"/>
      <c r="R21" s="26"/>
      <c r="S21" s="87">
        <f t="shared" si="3"/>
        <v>0</v>
      </c>
      <c r="T21" s="87">
        <f t="shared" si="4"/>
        <v>0</v>
      </c>
      <c r="U21" s="136">
        <v>0</v>
      </c>
    </row>
    <row r="22" spans="2:21">
      <c r="B22" s="154">
        <v>140</v>
      </c>
      <c r="C22" s="94" t="s">
        <v>35</v>
      </c>
      <c r="D22" s="6">
        <v>2</v>
      </c>
      <c r="E22" s="124">
        <v>5</v>
      </c>
      <c r="F22" s="95">
        <v>3</v>
      </c>
      <c r="G22" s="6"/>
      <c r="H22" s="6"/>
      <c r="I22" s="6">
        <f t="shared" si="0"/>
        <v>10</v>
      </c>
      <c r="J22" s="95">
        <f t="shared" si="0"/>
        <v>6</v>
      </c>
      <c r="K22" s="101">
        <v>1</v>
      </c>
      <c r="L22" s="102">
        <v>4</v>
      </c>
      <c r="M22" s="102">
        <v>26</v>
      </c>
      <c r="N22" s="103">
        <v>32</v>
      </c>
      <c r="O22" s="101"/>
      <c r="P22" s="104"/>
      <c r="Q22" s="101"/>
      <c r="R22" s="104"/>
      <c r="S22" s="105">
        <f t="shared" si="3"/>
        <v>8</v>
      </c>
      <c r="T22" s="105">
        <f t="shared" si="4"/>
        <v>64</v>
      </c>
      <c r="U22" s="119">
        <v>1</v>
      </c>
    </row>
    <row r="23" spans="2:21">
      <c r="B23" s="154"/>
      <c r="C23" s="94" t="s">
        <v>36</v>
      </c>
      <c r="D23" s="6">
        <v>2</v>
      </c>
      <c r="E23" s="124">
        <v>3</v>
      </c>
      <c r="F23" s="95">
        <v>1</v>
      </c>
      <c r="G23" s="6"/>
      <c r="H23" s="6"/>
      <c r="I23" s="6">
        <f t="shared" si="0"/>
        <v>6</v>
      </c>
      <c r="J23" s="95">
        <f t="shared" si="0"/>
        <v>2</v>
      </c>
      <c r="K23" s="90">
        <v>1</v>
      </c>
      <c r="L23" s="28">
        <v>4</v>
      </c>
      <c r="M23" s="28">
        <v>26</v>
      </c>
      <c r="N23" s="91">
        <v>32</v>
      </c>
      <c r="O23" s="90"/>
      <c r="P23" s="92"/>
      <c r="Q23" s="90"/>
      <c r="R23" s="92"/>
      <c r="S23" s="93">
        <f t="shared" si="3"/>
        <v>8</v>
      </c>
      <c r="T23" s="93">
        <f t="shared" si="4"/>
        <v>64</v>
      </c>
      <c r="U23" s="117">
        <v>1</v>
      </c>
    </row>
    <row r="24" spans="2:21">
      <c r="B24" s="155"/>
      <c r="C24" s="106" t="s">
        <v>37</v>
      </c>
      <c r="D24" s="12">
        <v>2</v>
      </c>
      <c r="E24" s="133">
        <v>4</v>
      </c>
      <c r="F24" s="107">
        <v>4</v>
      </c>
      <c r="G24" s="12"/>
      <c r="H24" s="12"/>
      <c r="I24" s="12">
        <f t="shared" si="0"/>
        <v>8</v>
      </c>
      <c r="J24" s="107">
        <f t="shared" si="0"/>
        <v>8</v>
      </c>
      <c r="K24" s="108">
        <v>1</v>
      </c>
      <c r="L24" s="29">
        <v>4</v>
      </c>
      <c r="M24" s="29">
        <v>26</v>
      </c>
      <c r="N24" s="109">
        <v>32</v>
      </c>
      <c r="O24" s="108"/>
      <c r="P24" s="110"/>
      <c r="Q24" s="108"/>
      <c r="R24" s="110"/>
      <c r="S24" s="111">
        <f t="shared" si="3"/>
        <v>8</v>
      </c>
      <c r="T24" s="111">
        <f t="shared" si="4"/>
        <v>64</v>
      </c>
      <c r="U24" s="120">
        <v>1</v>
      </c>
    </row>
    <row r="25" spans="2:21">
      <c r="C25" s="1"/>
      <c r="S25" s="21">
        <f>SUM(S7:S24)</f>
        <v>864</v>
      </c>
      <c r="T25" s="22">
        <f>SUM(T7:T24)</f>
        <v>2592</v>
      </c>
    </row>
    <row r="26" spans="2:21">
      <c r="S26" s="23">
        <v>936</v>
      </c>
      <c r="T26" s="24">
        <v>2816</v>
      </c>
    </row>
    <row r="27" spans="2:21">
      <c r="S27">
        <f>S26-S25</f>
        <v>72</v>
      </c>
      <c r="T27">
        <f>T26-T25</f>
        <v>224</v>
      </c>
    </row>
  </sheetData>
  <mergeCells count="24">
    <mergeCell ref="U2:U3"/>
    <mergeCell ref="C2:C3"/>
    <mergeCell ref="D2:D3"/>
    <mergeCell ref="E2:F2"/>
    <mergeCell ref="G2:H2"/>
    <mergeCell ref="I2:J2"/>
    <mergeCell ref="K2:L2"/>
    <mergeCell ref="M2:N2"/>
    <mergeCell ref="O2:P2"/>
    <mergeCell ref="Q2:R2"/>
    <mergeCell ref="S2:S3"/>
    <mergeCell ref="T2:T3"/>
    <mergeCell ref="B22:B24"/>
    <mergeCell ref="K4:L4"/>
    <mergeCell ref="M4:N4"/>
    <mergeCell ref="K5:L5"/>
    <mergeCell ref="M5:N5"/>
    <mergeCell ref="K6:L6"/>
    <mergeCell ref="M6:N6"/>
    <mergeCell ref="B7:B9"/>
    <mergeCell ref="B10:B11"/>
    <mergeCell ref="B13:B15"/>
    <mergeCell ref="B16:B18"/>
    <mergeCell ref="B19:B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27"/>
  <sheetViews>
    <sheetView workbookViewId="0" xr3:uid="{958C4451-9541-5A59-BF78-D2F731DF1C81}">
      <selection activeCell="C26" sqref="C26"/>
    </sheetView>
  </sheetViews>
  <sheetFormatPr defaultRowHeight="15"/>
  <cols>
    <col min="3" max="3" width="29" bestFit="1" customWidth="1"/>
    <col min="5" max="5" width="11.28515625" bestFit="1" customWidth="1"/>
    <col min="6" max="6" width="9.85546875" bestFit="1" customWidth="1"/>
    <col min="7" max="7" width="11.28515625" bestFit="1" customWidth="1"/>
    <col min="8" max="8" width="9.85546875" bestFit="1" customWidth="1"/>
    <col min="9" max="9" width="11.28515625" bestFit="1" customWidth="1"/>
    <col min="10" max="10" width="9.85546875" bestFit="1" customWidth="1"/>
    <col min="15" max="15" width="14.28515625" customWidth="1"/>
    <col min="16" max="16" width="10.5703125" customWidth="1"/>
    <col min="17" max="17" width="15.140625" customWidth="1"/>
    <col min="18" max="18" width="10.42578125" customWidth="1"/>
    <col min="19" max="19" width="10.5703125" bestFit="1" customWidth="1"/>
    <col min="20" max="20" width="12.7109375" bestFit="1" customWidth="1"/>
    <col min="21" max="21" width="20.42578125" bestFit="1" customWidth="1"/>
  </cols>
  <sheetData>
    <row r="1" spans="2:21" ht="15.75" thickBot="1"/>
    <row r="2" spans="2:21" ht="15.75" thickBot="1">
      <c r="C2" s="139" t="s">
        <v>0</v>
      </c>
      <c r="D2" s="141" t="s">
        <v>1</v>
      </c>
      <c r="E2" s="141" t="s">
        <v>2</v>
      </c>
      <c r="F2" s="141"/>
      <c r="G2" s="141" t="s">
        <v>3</v>
      </c>
      <c r="H2" s="141"/>
      <c r="I2" s="143" t="s">
        <v>4</v>
      </c>
      <c r="J2" s="144"/>
      <c r="K2" s="145" t="s">
        <v>5</v>
      </c>
      <c r="L2" s="146"/>
      <c r="M2" s="147" t="s">
        <v>6</v>
      </c>
      <c r="N2" s="148"/>
      <c r="O2" s="149" t="s">
        <v>7</v>
      </c>
      <c r="P2" s="150"/>
      <c r="Q2" s="149" t="s">
        <v>8</v>
      </c>
      <c r="R2" s="148"/>
      <c r="S2" s="145" t="s">
        <v>9</v>
      </c>
      <c r="T2" s="152" t="s">
        <v>10</v>
      </c>
      <c r="U2" s="137" t="s">
        <v>11</v>
      </c>
    </row>
    <row r="3" spans="2:21">
      <c r="C3" s="140"/>
      <c r="D3" s="142"/>
      <c r="E3" s="121" t="s">
        <v>12</v>
      </c>
      <c r="F3" s="76" t="s">
        <v>13</v>
      </c>
      <c r="G3" t="s">
        <v>12</v>
      </c>
      <c r="H3" t="s">
        <v>13</v>
      </c>
      <c r="I3" t="s">
        <v>12</v>
      </c>
      <c r="J3" s="7" t="s">
        <v>13</v>
      </c>
      <c r="K3" s="14" t="s">
        <v>14</v>
      </c>
      <c r="L3" s="13" t="s">
        <v>15</v>
      </c>
      <c r="M3" s="13" t="s">
        <v>14</v>
      </c>
      <c r="N3" s="18" t="s">
        <v>15</v>
      </c>
      <c r="O3" s="14" t="s">
        <v>5</v>
      </c>
      <c r="P3" s="15" t="s">
        <v>6</v>
      </c>
      <c r="Q3" s="14" t="s">
        <v>5</v>
      </c>
      <c r="R3" s="18" t="s">
        <v>6</v>
      </c>
      <c r="S3" s="151"/>
      <c r="T3" s="153"/>
      <c r="U3" s="138"/>
    </row>
    <row r="4" spans="2:21">
      <c r="C4" s="8" t="s">
        <v>16</v>
      </c>
      <c r="D4" s="2">
        <v>13</v>
      </c>
      <c r="E4" s="122">
        <v>8</v>
      </c>
      <c r="F4" s="123">
        <v>8</v>
      </c>
      <c r="G4" s="2" t="s">
        <v>17</v>
      </c>
      <c r="H4" s="2" t="s">
        <v>18</v>
      </c>
      <c r="I4" s="3">
        <f>$D4*E4</f>
        <v>104</v>
      </c>
      <c r="J4" s="9">
        <f>$D4*F4</f>
        <v>104</v>
      </c>
      <c r="K4" s="156">
        <v>8</v>
      </c>
      <c r="L4" s="157"/>
      <c r="M4" s="158">
        <v>18</v>
      </c>
      <c r="N4" s="159"/>
      <c r="O4" s="10">
        <v>3</v>
      </c>
      <c r="P4" s="7">
        <v>6.5</v>
      </c>
      <c r="Q4" s="10">
        <v>10</v>
      </c>
      <c r="R4">
        <v>12</v>
      </c>
      <c r="S4" s="16">
        <f>D4*K4</f>
        <v>104</v>
      </c>
      <c r="T4" s="17">
        <f>M4*D4</f>
        <v>234</v>
      </c>
      <c r="U4" s="19">
        <v>1</v>
      </c>
    </row>
    <row r="5" spans="2:21">
      <c r="C5" s="10" t="s">
        <v>19</v>
      </c>
      <c r="D5">
        <v>4</v>
      </c>
      <c r="E5" s="124">
        <v>5</v>
      </c>
      <c r="F5" s="125">
        <v>3</v>
      </c>
      <c r="G5" t="s">
        <v>20</v>
      </c>
      <c r="H5" t="s">
        <v>21</v>
      </c>
      <c r="I5" s="4">
        <f t="shared" ref="I5:J24" si="0">$D5*E5</f>
        <v>20</v>
      </c>
      <c r="J5" s="11">
        <f t="shared" si="0"/>
        <v>12</v>
      </c>
      <c r="K5" s="160">
        <v>8</v>
      </c>
      <c r="L5" s="161"/>
      <c r="M5" s="162">
        <v>32</v>
      </c>
      <c r="N5" s="163"/>
      <c r="O5" s="10">
        <v>4</v>
      </c>
      <c r="P5" s="7">
        <v>18</v>
      </c>
      <c r="Q5" s="10">
        <v>6.5</v>
      </c>
      <c r="R5">
        <v>19</v>
      </c>
      <c r="S5" s="16">
        <f>D5*K5</f>
        <v>32</v>
      </c>
      <c r="T5" s="17">
        <f>M5*D5</f>
        <v>128</v>
      </c>
      <c r="U5" s="19">
        <v>1</v>
      </c>
    </row>
    <row r="6" spans="2:21" ht="15.75" customHeight="1">
      <c r="C6" s="10" t="s">
        <v>22</v>
      </c>
      <c r="D6">
        <v>5</v>
      </c>
      <c r="E6" s="124">
        <v>8</v>
      </c>
      <c r="F6" s="125">
        <v>8</v>
      </c>
      <c r="G6" t="s">
        <v>23</v>
      </c>
      <c r="H6" t="s">
        <v>24</v>
      </c>
      <c r="I6" s="4">
        <f t="shared" si="0"/>
        <v>40</v>
      </c>
      <c r="J6" s="11">
        <f t="shared" si="0"/>
        <v>40</v>
      </c>
      <c r="K6" s="160">
        <v>8</v>
      </c>
      <c r="L6" s="161"/>
      <c r="M6" s="162">
        <v>16</v>
      </c>
      <c r="N6" s="163"/>
      <c r="O6" s="10">
        <v>4</v>
      </c>
      <c r="P6" s="7">
        <v>7</v>
      </c>
      <c r="Q6" s="10">
        <v>25</v>
      </c>
      <c r="R6">
        <v>13</v>
      </c>
      <c r="S6" s="16">
        <f>D6*K6</f>
        <v>40</v>
      </c>
      <c r="T6" s="17">
        <f>M6*D6</f>
        <v>80</v>
      </c>
      <c r="U6" s="20">
        <v>1</v>
      </c>
    </row>
    <row r="7" spans="2:21">
      <c r="B7" s="164" t="s">
        <v>25</v>
      </c>
      <c r="C7" s="49" t="s">
        <v>26</v>
      </c>
      <c r="D7" s="50">
        <v>4</v>
      </c>
      <c r="E7" s="126">
        <v>2</v>
      </c>
      <c r="F7" s="51">
        <v>1</v>
      </c>
      <c r="G7" s="50"/>
      <c r="H7" s="50"/>
      <c r="I7" s="50">
        <f t="shared" si="0"/>
        <v>8</v>
      </c>
      <c r="J7" s="51">
        <f t="shared" si="0"/>
        <v>4</v>
      </c>
      <c r="K7" s="52">
        <v>1</v>
      </c>
      <c r="L7" s="53">
        <v>4</v>
      </c>
      <c r="M7" s="53">
        <v>10</v>
      </c>
      <c r="N7" s="54">
        <v>16</v>
      </c>
      <c r="O7" s="52"/>
      <c r="P7" s="55"/>
      <c r="Q7" s="52"/>
      <c r="R7" s="55"/>
      <c r="S7" s="56">
        <f>L7*$D7*$U7</f>
        <v>16</v>
      </c>
      <c r="T7" s="56">
        <f>N7*$D7*$U7</f>
        <v>64</v>
      </c>
      <c r="U7" s="112">
        <v>1</v>
      </c>
    </row>
    <row r="8" spans="2:21">
      <c r="B8" s="165"/>
      <c r="C8" s="57" t="s">
        <v>27</v>
      </c>
      <c r="D8" s="58">
        <v>4</v>
      </c>
      <c r="E8" s="127">
        <v>2</v>
      </c>
      <c r="F8" s="59">
        <v>1</v>
      </c>
      <c r="G8" s="58"/>
      <c r="H8" s="58"/>
      <c r="I8" s="58">
        <f t="shared" si="0"/>
        <v>8</v>
      </c>
      <c r="J8" s="59">
        <f t="shared" si="0"/>
        <v>4</v>
      </c>
      <c r="K8" s="60">
        <v>1</v>
      </c>
      <c r="L8" s="61">
        <v>4</v>
      </c>
      <c r="M8" s="61">
        <v>10</v>
      </c>
      <c r="N8" s="62">
        <v>16</v>
      </c>
      <c r="O8" s="60"/>
      <c r="P8" s="63"/>
      <c r="Q8" s="60"/>
      <c r="R8" s="63"/>
      <c r="S8" s="64">
        <f t="shared" ref="S8:S12" si="1">L8*$D8*$U8</f>
        <v>16</v>
      </c>
      <c r="T8" s="64">
        <f t="shared" ref="T8:T12" si="2">N8*$D8*$U8</f>
        <v>64</v>
      </c>
      <c r="U8" s="113">
        <v>1</v>
      </c>
    </row>
    <row r="9" spans="2:21" ht="15.75" thickBot="1">
      <c r="B9" s="166"/>
      <c r="C9" s="65" t="s">
        <v>28</v>
      </c>
      <c r="D9" s="66">
        <v>2</v>
      </c>
      <c r="E9" s="128">
        <v>1</v>
      </c>
      <c r="F9" s="67">
        <v>1</v>
      </c>
      <c r="G9" s="66"/>
      <c r="H9" s="66"/>
      <c r="I9" s="66">
        <f t="shared" si="0"/>
        <v>2</v>
      </c>
      <c r="J9" s="67">
        <f t="shared" si="0"/>
        <v>2</v>
      </c>
      <c r="K9" s="68">
        <v>1</v>
      </c>
      <c r="L9" s="69">
        <v>4</v>
      </c>
      <c r="M9" s="69">
        <v>10</v>
      </c>
      <c r="N9" s="70">
        <v>16</v>
      </c>
      <c r="O9" s="68"/>
      <c r="P9" s="71"/>
      <c r="Q9" s="68"/>
      <c r="R9" s="71"/>
      <c r="S9" s="72">
        <f t="shared" si="1"/>
        <v>8</v>
      </c>
      <c r="T9" s="72">
        <f t="shared" si="2"/>
        <v>32</v>
      </c>
      <c r="U9" s="114">
        <v>1</v>
      </c>
    </row>
    <row r="10" spans="2:21">
      <c r="B10" s="167">
        <v>76</v>
      </c>
      <c r="C10" s="30" t="s">
        <v>29</v>
      </c>
      <c r="D10" s="31">
        <v>30</v>
      </c>
      <c r="E10" s="129">
        <v>5</v>
      </c>
      <c r="F10" s="32">
        <v>3</v>
      </c>
      <c r="G10" s="31"/>
      <c r="H10" s="31"/>
      <c r="I10" s="31">
        <f t="shared" si="0"/>
        <v>150</v>
      </c>
      <c r="J10" s="32">
        <f t="shared" si="0"/>
        <v>90</v>
      </c>
      <c r="K10" s="33">
        <v>4</v>
      </c>
      <c r="L10" s="34">
        <v>8</v>
      </c>
      <c r="M10" s="34">
        <v>10</v>
      </c>
      <c r="N10" s="35">
        <v>16</v>
      </c>
      <c r="O10" s="33"/>
      <c r="P10" s="36"/>
      <c r="Q10" s="33"/>
      <c r="R10" s="36"/>
      <c r="S10" s="37">
        <f t="shared" si="1"/>
        <v>240</v>
      </c>
      <c r="T10" s="37">
        <f t="shared" si="2"/>
        <v>480</v>
      </c>
      <c r="U10" s="115">
        <v>1</v>
      </c>
    </row>
    <row r="11" spans="2:21" ht="15.75" thickBot="1">
      <c r="B11" s="168"/>
      <c r="C11" s="41" t="s">
        <v>30</v>
      </c>
      <c r="D11" s="42">
        <v>18</v>
      </c>
      <c r="E11" s="130">
        <v>5</v>
      </c>
      <c r="F11" s="43">
        <v>1</v>
      </c>
      <c r="G11" s="42"/>
      <c r="H11" s="42"/>
      <c r="I11" s="42">
        <f t="shared" si="0"/>
        <v>90</v>
      </c>
      <c r="J11" s="43">
        <f t="shared" si="0"/>
        <v>18</v>
      </c>
      <c r="K11" s="44">
        <v>4</v>
      </c>
      <c r="L11" s="45">
        <v>8</v>
      </c>
      <c r="M11" s="45">
        <v>10</v>
      </c>
      <c r="N11" s="46">
        <v>24</v>
      </c>
      <c r="O11" s="44"/>
      <c r="P11" s="47"/>
      <c r="Q11" s="44"/>
      <c r="R11" s="47"/>
      <c r="S11" s="48">
        <f t="shared" si="1"/>
        <v>144</v>
      </c>
      <c r="T11" s="48">
        <f t="shared" si="2"/>
        <v>432</v>
      </c>
      <c r="U11" s="116">
        <v>1</v>
      </c>
    </row>
    <row r="12" spans="2:21" ht="15.75" thickBot="1">
      <c r="B12" s="82">
        <v>107</v>
      </c>
      <c r="C12" s="83" t="s">
        <v>31</v>
      </c>
      <c r="D12" s="84">
        <v>10</v>
      </c>
      <c r="E12" s="131">
        <v>4</v>
      </c>
      <c r="F12" s="85">
        <v>4</v>
      </c>
      <c r="G12" s="84"/>
      <c r="H12" s="84"/>
      <c r="I12" s="84">
        <f t="shared" si="0"/>
        <v>40</v>
      </c>
      <c r="J12" s="85">
        <f t="shared" si="0"/>
        <v>40</v>
      </c>
      <c r="K12" s="25">
        <v>4</v>
      </c>
      <c r="L12" s="86">
        <v>6</v>
      </c>
      <c r="M12" s="86">
        <v>10</v>
      </c>
      <c r="N12" s="27">
        <v>16</v>
      </c>
      <c r="O12" s="25">
        <v>3.5</v>
      </c>
      <c r="P12" s="26">
        <v>5.5</v>
      </c>
      <c r="Q12" s="25">
        <v>4.8</v>
      </c>
      <c r="R12" s="26">
        <v>8.5</v>
      </c>
      <c r="S12" s="87">
        <f t="shared" si="1"/>
        <v>0</v>
      </c>
      <c r="T12" s="87">
        <f t="shared" si="2"/>
        <v>0</v>
      </c>
      <c r="U12" s="85">
        <v>0</v>
      </c>
    </row>
    <row r="13" spans="2:21">
      <c r="B13" s="169">
        <v>140</v>
      </c>
      <c r="C13" s="88" t="s">
        <v>29</v>
      </c>
      <c r="D13" s="5">
        <v>30</v>
      </c>
      <c r="E13" s="122">
        <v>5</v>
      </c>
      <c r="F13" s="89">
        <v>3</v>
      </c>
      <c r="G13" s="5"/>
      <c r="H13" s="5"/>
      <c r="I13" s="5">
        <f t="shared" ref="I13:I15" si="3">$D13*E13</f>
        <v>150</v>
      </c>
      <c r="J13" s="89">
        <f t="shared" ref="J13:J15" si="4">$D13*F13</f>
        <v>90</v>
      </c>
      <c r="K13" s="90">
        <v>4</v>
      </c>
      <c r="L13" s="28">
        <v>8</v>
      </c>
      <c r="M13" s="28">
        <v>10</v>
      </c>
      <c r="N13" s="91">
        <v>16</v>
      </c>
      <c r="O13" s="90"/>
      <c r="P13" s="92"/>
      <c r="Q13" s="90"/>
      <c r="R13" s="92"/>
      <c r="S13" s="93">
        <f t="shared" ref="S13:S15" si="5">L13*$D13*$U13</f>
        <v>240</v>
      </c>
      <c r="T13" s="93">
        <f t="shared" ref="T13:T15" si="6">N13*$D13*$U13</f>
        <v>480</v>
      </c>
      <c r="U13" s="117">
        <v>1</v>
      </c>
    </row>
    <row r="14" spans="2:21">
      <c r="B14" s="154"/>
      <c r="C14" s="94" t="s">
        <v>30</v>
      </c>
      <c r="D14" s="6">
        <v>18</v>
      </c>
      <c r="E14" s="124">
        <v>3</v>
      </c>
      <c r="F14" s="95">
        <v>1</v>
      </c>
      <c r="G14" s="6"/>
      <c r="H14" s="6"/>
      <c r="I14" s="6">
        <f t="shared" si="3"/>
        <v>54</v>
      </c>
      <c r="J14" s="95">
        <f t="shared" si="4"/>
        <v>18</v>
      </c>
      <c r="K14" s="90">
        <v>4</v>
      </c>
      <c r="L14" s="28">
        <v>8</v>
      </c>
      <c r="M14" s="28">
        <v>10</v>
      </c>
      <c r="N14" s="91">
        <v>24</v>
      </c>
      <c r="O14" s="90"/>
      <c r="P14" s="92"/>
      <c r="Q14" s="90"/>
      <c r="R14" s="92"/>
      <c r="S14" s="93">
        <f t="shared" si="5"/>
        <v>144</v>
      </c>
      <c r="T14" s="93">
        <f t="shared" si="6"/>
        <v>432</v>
      </c>
      <c r="U14" s="117">
        <v>1</v>
      </c>
    </row>
    <row r="15" spans="2:21" ht="15.75" thickBot="1">
      <c r="B15" s="155"/>
      <c r="C15" s="94" t="s">
        <v>31</v>
      </c>
      <c r="D15" s="6">
        <v>10</v>
      </c>
      <c r="E15" s="124">
        <v>4</v>
      </c>
      <c r="F15" s="95">
        <v>4</v>
      </c>
      <c r="G15" s="6"/>
      <c r="H15" s="6"/>
      <c r="I15" s="6">
        <f t="shared" si="3"/>
        <v>40</v>
      </c>
      <c r="J15" s="95">
        <f t="shared" si="4"/>
        <v>40</v>
      </c>
      <c r="K15" s="96">
        <v>4</v>
      </c>
      <c r="L15" s="97">
        <v>6</v>
      </c>
      <c r="M15" s="97">
        <v>10</v>
      </c>
      <c r="N15" s="98">
        <v>16</v>
      </c>
      <c r="O15" s="96"/>
      <c r="P15" s="99"/>
      <c r="Q15" s="96"/>
      <c r="R15" s="99"/>
      <c r="S15" s="100">
        <f t="shared" si="5"/>
        <v>60</v>
      </c>
      <c r="T15" s="100">
        <f t="shared" si="6"/>
        <v>160</v>
      </c>
      <c r="U15" s="89">
        <v>1</v>
      </c>
    </row>
    <row r="16" spans="2:21">
      <c r="B16" s="170" t="s">
        <v>25</v>
      </c>
      <c r="C16" s="49" t="s">
        <v>32</v>
      </c>
      <c r="D16" s="50">
        <v>2</v>
      </c>
      <c r="E16" s="126">
        <v>2</v>
      </c>
      <c r="F16" s="51">
        <v>1</v>
      </c>
      <c r="G16" s="50"/>
      <c r="H16" s="50"/>
      <c r="I16" s="50">
        <f t="shared" si="0"/>
        <v>4</v>
      </c>
      <c r="J16" s="51">
        <f t="shared" si="0"/>
        <v>2</v>
      </c>
      <c r="K16" s="73">
        <v>1</v>
      </c>
      <c r="L16" s="53">
        <v>4</v>
      </c>
      <c r="M16" s="53">
        <v>10</v>
      </c>
      <c r="N16" s="54">
        <v>16</v>
      </c>
      <c r="O16" s="52"/>
      <c r="P16" s="55"/>
      <c r="Q16" s="52"/>
      <c r="R16" s="55"/>
      <c r="S16" s="56">
        <f>L16*$D16*$U16</f>
        <v>8</v>
      </c>
      <c r="T16" s="56">
        <f>N16*$D16*$U16</f>
        <v>32</v>
      </c>
      <c r="U16" s="112">
        <v>1</v>
      </c>
    </row>
    <row r="17" spans="2:21">
      <c r="B17" s="171"/>
      <c r="C17" s="57" t="s">
        <v>33</v>
      </c>
      <c r="D17" s="58">
        <v>2</v>
      </c>
      <c r="E17" s="127">
        <v>2</v>
      </c>
      <c r="F17" s="59">
        <v>1</v>
      </c>
      <c r="G17" s="58"/>
      <c r="H17" s="58"/>
      <c r="I17" s="58">
        <f t="shared" si="0"/>
        <v>4</v>
      </c>
      <c r="J17" s="59">
        <f t="shared" si="0"/>
        <v>2</v>
      </c>
      <c r="K17" s="74">
        <v>1</v>
      </c>
      <c r="L17" s="61">
        <v>4</v>
      </c>
      <c r="M17" s="61">
        <v>10</v>
      </c>
      <c r="N17" s="62">
        <v>16</v>
      </c>
      <c r="O17" s="60"/>
      <c r="P17" s="63"/>
      <c r="Q17" s="60"/>
      <c r="R17" s="63"/>
      <c r="S17" s="64">
        <f t="shared" ref="S17:S24" si="7">L17*$D17*$U17</f>
        <v>8</v>
      </c>
      <c r="T17" s="64">
        <f t="shared" ref="T17:T24" si="8">N17*$D17*$U17</f>
        <v>32</v>
      </c>
      <c r="U17" s="113">
        <v>1</v>
      </c>
    </row>
    <row r="18" spans="2:21" ht="15.75" thickBot="1">
      <c r="B18" s="172"/>
      <c r="C18" s="65" t="s">
        <v>34</v>
      </c>
      <c r="D18" s="66">
        <v>2</v>
      </c>
      <c r="E18" s="128">
        <v>1</v>
      </c>
      <c r="F18" s="67">
        <v>1</v>
      </c>
      <c r="G18" s="66"/>
      <c r="H18" s="66"/>
      <c r="I18" s="66">
        <f t="shared" si="0"/>
        <v>2</v>
      </c>
      <c r="J18" s="67">
        <f t="shared" si="0"/>
        <v>2</v>
      </c>
      <c r="K18" s="75">
        <v>1</v>
      </c>
      <c r="L18" s="69">
        <v>4</v>
      </c>
      <c r="M18" s="69">
        <v>10</v>
      </c>
      <c r="N18" s="70">
        <v>16</v>
      </c>
      <c r="O18" s="68"/>
      <c r="P18" s="71"/>
      <c r="Q18" s="68"/>
      <c r="R18" s="71"/>
      <c r="S18" s="72">
        <f t="shared" si="7"/>
        <v>8</v>
      </c>
      <c r="T18" s="72">
        <f t="shared" si="8"/>
        <v>32</v>
      </c>
      <c r="U18" s="114">
        <v>1</v>
      </c>
    </row>
    <row r="19" spans="2:21">
      <c r="B19" s="167">
        <v>76</v>
      </c>
      <c r="C19" s="38" t="s">
        <v>35</v>
      </c>
      <c r="D19" s="39">
        <v>2</v>
      </c>
      <c r="E19" s="132">
        <v>5</v>
      </c>
      <c r="F19" s="40">
        <v>3</v>
      </c>
      <c r="G19" s="39"/>
      <c r="H19" s="39"/>
      <c r="I19" s="39">
        <f t="shared" ref="I19:I21" si="9">$D19*E19</f>
        <v>10</v>
      </c>
      <c r="J19" s="40">
        <f t="shared" ref="J19:J21" si="10">$D19*F19</f>
        <v>6</v>
      </c>
      <c r="K19" s="77">
        <v>1</v>
      </c>
      <c r="L19" s="78">
        <v>4</v>
      </c>
      <c r="M19" s="78">
        <v>10</v>
      </c>
      <c r="N19" s="79">
        <v>16</v>
      </c>
      <c r="O19" s="77"/>
      <c r="P19" s="80"/>
      <c r="Q19" s="77"/>
      <c r="R19" s="80"/>
      <c r="S19" s="81">
        <f t="shared" ref="S19:S21" si="11">L19*$D19*$U19</f>
        <v>8</v>
      </c>
      <c r="T19" s="81">
        <f t="shared" ref="T19:T21" si="12">N19*$D19*$U19</f>
        <v>32</v>
      </c>
      <c r="U19" s="118">
        <v>1</v>
      </c>
    </row>
    <row r="20" spans="2:21" ht="15.75" thickBot="1">
      <c r="B20" s="168"/>
      <c r="C20" s="41" t="s">
        <v>36</v>
      </c>
      <c r="D20" s="42">
        <v>2</v>
      </c>
      <c r="E20" s="130">
        <v>3</v>
      </c>
      <c r="F20" s="43">
        <v>1</v>
      </c>
      <c r="G20" s="42"/>
      <c r="H20" s="42"/>
      <c r="I20" s="42">
        <f t="shared" si="9"/>
        <v>6</v>
      </c>
      <c r="J20" s="43">
        <f t="shared" si="10"/>
        <v>2</v>
      </c>
      <c r="K20" s="44">
        <v>1</v>
      </c>
      <c r="L20" s="45">
        <v>4</v>
      </c>
      <c r="M20" s="45">
        <v>10</v>
      </c>
      <c r="N20" s="46">
        <v>24</v>
      </c>
      <c r="O20" s="44"/>
      <c r="P20" s="47"/>
      <c r="Q20" s="44"/>
      <c r="R20" s="47"/>
      <c r="S20" s="48">
        <f t="shared" si="11"/>
        <v>8</v>
      </c>
      <c r="T20" s="48">
        <f t="shared" si="12"/>
        <v>48</v>
      </c>
      <c r="U20" s="116">
        <v>1</v>
      </c>
    </row>
    <row r="21" spans="2:21" ht="15.75" thickBot="1">
      <c r="B21" s="82">
        <v>107</v>
      </c>
      <c r="C21" s="83" t="s">
        <v>37</v>
      </c>
      <c r="D21" s="84">
        <v>2</v>
      </c>
      <c r="E21" s="131">
        <v>4</v>
      </c>
      <c r="F21" s="85">
        <v>4</v>
      </c>
      <c r="G21" s="84"/>
      <c r="H21" s="84"/>
      <c r="I21" s="84">
        <f t="shared" si="9"/>
        <v>8</v>
      </c>
      <c r="J21" s="85">
        <f t="shared" si="10"/>
        <v>8</v>
      </c>
      <c r="K21" s="25">
        <v>1</v>
      </c>
      <c r="L21" s="86">
        <v>4</v>
      </c>
      <c r="M21" s="86">
        <v>10</v>
      </c>
      <c r="N21" s="27">
        <v>16</v>
      </c>
      <c r="O21" s="25"/>
      <c r="P21" s="26"/>
      <c r="Q21" s="25"/>
      <c r="R21" s="26"/>
      <c r="S21" s="87">
        <f t="shared" si="11"/>
        <v>0</v>
      </c>
      <c r="T21" s="87">
        <f t="shared" si="12"/>
        <v>0</v>
      </c>
      <c r="U21" s="85">
        <v>0</v>
      </c>
    </row>
    <row r="22" spans="2:21">
      <c r="B22" s="154">
        <v>140</v>
      </c>
      <c r="C22" s="94" t="s">
        <v>35</v>
      </c>
      <c r="D22" s="6">
        <v>2</v>
      </c>
      <c r="E22" s="124">
        <v>5</v>
      </c>
      <c r="F22" s="95">
        <v>3</v>
      </c>
      <c r="G22" s="6"/>
      <c r="H22" s="6"/>
      <c r="I22" s="6">
        <f t="shared" si="0"/>
        <v>10</v>
      </c>
      <c r="J22" s="95">
        <f t="shared" si="0"/>
        <v>6</v>
      </c>
      <c r="K22" s="101">
        <v>1</v>
      </c>
      <c r="L22" s="102">
        <v>4</v>
      </c>
      <c r="M22" s="102">
        <v>10</v>
      </c>
      <c r="N22" s="103">
        <v>16</v>
      </c>
      <c r="O22" s="101"/>
      <c r="P22" s="104"/>
      <c r="Q22" s="101"/>
      <c r="R22" s="104"/>
      <c r="S22" s="105">
        <f t="shared" si="7"/>
        <v>8</v>
      </c>
      <c r="T22" s="105">
        <f t="shared" si="8"/>
        <v>32</v>
      </c>
      <c r="U22" s="119">
        <v>1</v>
      </c>
    </row>
    <row r="23" spans="2:21">
      <c r="B23" s="154"/>
      <c r="C23" s="94" t="s">
        <v>36</v>
      </c>
      <c r="D23" s="6">
        <v>2</v>
      </c>
      <c r="E23" s="124">
        <v>3</v>
      </c>
      <c r="F23" s="95">
        <v>1</v>
      </c>
      <c r="G23" s="6"/>
      <c r="H23" s="6"/>
      <c r="I23" s="6">
        <f t="shared" si="0"/>
        <v>6</v>
      </c>
      <c r="J23" s="95">
        <f t="shared" si="0"/>
        <v>2</v>
      </c>
      <c r="K23" s="90">
        <v>1</v>
      </c>
      <c r="L23" s="28">
        <v>4</v>
      </c>
      <c r="M23" s="28">
        <v>10</v>
      </c>
      <c r="N23" s="91">
        <v>24</v>
      </c>
      <c r="O23" s="90"/>
      <c r="P23" s="92"/>
      <c r="Q23" s="90"/>
      <c r="R23" s="92"/>
      <c r="S23" s="93">
        <f t="shared" si="7"/>
        <v>8</v>
      </c>
      <c r="T23" s="93">
        <f t="shared" si="8"/>
        <v>48</v>
      </c>
      <c r="U23" s="117">
        <v>1</v>
      </c>
    </row>
    <row r="24" spans="2:21" ht="15.75" thickBot="1">
      <c r="B24" s="155"/>
      <c r="C24" s="106" t="s">
        <v>37</v>
      </c>
      <c r="D24" s="12">
        <v>2</v>
      </c>
      <c r="E24" s="133">
        <v>4</v>
      </c>
      <c r="F24" s="107">
        <v>4</v>
      </c>
      <c r="G24" s="12"/>
      <c r="H24" s="12"/>
      <c r="I24" s="12">
        <f t="shared" si="0"/>
        <v>8</v>
      </c>
      <c r="J24" s="107">
        <f t="shared" si="0"/>
        <v>8</v>
      </c>
      <c r="K24" s="108">
        <v>1</v>
      </c>
      <c r="L24" s="29">
        <v>4</v>
      </c>
      <c r="M24" s="29">
        <v>10</v>
      </c>
      <c r="N24" s="109">
        <v>16</v>
      </c>
      <c r="O24" s="108"/>
      <c r="P24" s="110"/>
      <c r="Q24" s="108"/>
      <c r="R24" s="110"/>
      <c r="S24" s="111">
        <f t="shared" si="7"/>
        <v>8</v>
      </c>
      <c r="T24" s="111">
        <f t="shared" si="8"/>
        <v>32</v>
      </c>
      <c r="U24" s="120">
        <v>1</v>
      </c>
    </row>
    <row r="25" spans="2:21">
      <c r="C25" s="1"/>
      <c r="S25" s="21">
        <f>SUM(S7:S24)</f>
        <v>932</v>
      </c>
      <c r="T25" s="22">
        <f>SUM(T7:T24)</f>
        <v>2432</v>
      </c>
    </row>
    <row r="26" spans="2:21" ht="15.75" thickBot="1">
      <c r="S26" s="23">
        <v>936</v>
      </c>
      <c r="T26" s="24">
        <v>2816</v>
      </c>
    </row>
    <row r="27" spans="2:21">
      <c r="S27">
        <f>S26-S25</f>
        <v>4</v>
      </c>
      <c r="T27">
        <f>T26-T25</f>
        <v>384</v>
      </c>
    </row>
  </sheetData>
  <mergeCells count="24">
    <mergeCell ref="B22:B24"/>
    <mergeCell ref="B16:B18"/>
    <mergeCell ref="B19:B20"/>
    <mergeCell ref="B7:B9"/>
    <mergeCell ref="B10:B11"/>
    <mergeCell ref="B13:B15"/>
    <mergeCell ref="K4:L4"/>
    <mergeCell ref="M4:N4"/>
    <mergeCell ref="K5:L5"/>
    <mergeCell ref="M5:N5"/>
    <mergeCell ref="K6:L6"/>
    <mergeCell ref="M6:N6"/>
    <mergeCell ref="U2:U3"/>
    <mergeCell ref="C2:C3"/>
    <mergeCell ref="D2:D3"/>
    <mergeCell ref="E2:F2"/>
    <mergeCell ref="G2:H2"/>
    <mergeCell ref="I2:J2"/>
    <mergeCell ref="K2:L2"/>
    <mergeCell ref="M2:N2"/>
    <mergeCell ref="O2:P2"/>
    <mergeCell ref="Q2:R2"/>
    <mergeCell ref="S2:S3"/>
    <mergeCell ref="T2: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Максим Чистов</dc:creator>
  <cp:keywords/>
  <dc:description/>
  <cp:lastModifiedBy>Чистов М.А.</cp:lastModifiedBy>
  <cp:revision/>
  <dcterms:created xsi:type="dcterms:W3CDTF">2026-04-20T17:59:45Z</dcterms:created>
  <dcterms:modified xsi:type="dcterms:W3CDTF">2026-04-21T18:23:43Z</dcterms:modified>
  <cp:category/>
  <cp:contentStatus/>
</cp:coreProperties>
</file>